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ayli\Downloads\"/>
    </mc:Choice>
  </mc:AlternateContent>
  <xr:revisionPtr revIDLastSave="0" documentId="13_ncr:1_{386E0496-5097-49C9-A226-01250A46862D}" xr6:coauthVersionLast="47" xr6:coauthVersionMax="47" xr10:uidLastSave="{00000000-0000-0000-0000-000000000000}"/>
  <bookViews>
    <workbookView xWindow="-108" yWindow="-108" windowWidth="23256" windowHeight="12456" firstSheet="8" activeTab="13" xr2:uid="{A32E3202-F0D9-460E-A1EE-4D403C5E22E2}"/>
  </bookViews>
  <sheets>
    <sheet name="Updated Financial Statements " sheetId="32" state="hidden" r:id="rId1"/>
    <sheet name="Sources" sheetId="38" r:id="rId2"/>
    <sheet name="Assumptions" sheetId="30" r:id="rId3"/>
    <sheet name="Financial Statements" sheetId="33" r:id="rId4"/>
    <sheet name="PPE " sheetId="34" r:id="rId5"/>
    <sheet name="Beta" sheetId="35" r:id="rId6"/>
    <sheet name="WACC" sheetId="36" r:id="rId7"/>
    <sheet name="DCF Valuation" sheetId="37" r:id="rId8"/>
    <sheet name="Relative Valuation" sheetId="42" r:id="rId9"/>
    <sheet name="All Ratio Forecast" sheetId="40" r:id="rId10"/>
    <sheet name="Key Ratio Forecast" sheetId="39" r:id="rId11"/>
    <sheet name="Sheet15" sheetId="65" state="hidden" r:id="rId12"/>
    <sheet name="Peer Comparison" sheetId="47" r:id="rId13"/>
    <sheet name="Dashboard" sheetId="66" r:id="rId14"/>
    <sheet name="Sheet7" sheetId="49" state="hidden" r:id="rId15"/>
    <sheet name="Sheet8" sheetId="50" state="hidden" r:id="rId16"/>
    <sheet name="Sheet9" sheetId="51" state="hidden" r:id="rId17"/>
    <sheet name="Sheet10" sheetId="52" state="hidden" r:id="rId18"/>
    <sheet name="Sheet11" sheetId="53" state="hidden" r:id="rId19"/>
    <sheet name="Sheet12" sheetId="54" state="hidden" r:id="rId20"/>
    <sheet name="Sheet13" sheetId="55" state="hidden" r:id="rId21"/>
    <sheet name="Sheet14" sheetId="56" state="hidden" r:id="rId22"/>
  </sheets>
  <externalReferences>
    <externalReference r:id="rId23"/>
  </externalReferences>
  <definedNames>
    <definedName name="_xlchart.v1.0" hidden="1">WACC!$A$6:$A$7</definedName>
    <definedName name="_xlchart.v1.1" hidden="1">WACC!$B$6:$B$7</definedName>
    <definedName name="solver_adj" localSheetId="7" hidden="1">'DCF Valuation'!$G$24:$G$25</definedName>
    <definedName name="solver_eng" localSheetId="7" hidden="1">1</definedName>
    <definedName name="solver_lhs1" localSheetId="7" hidden="1">'DCF Valuation'!$G$33</definedName>
    <definedName name="solver_neg" localSheetId="7" hidden="1">1</definedName>
    <definedName name="solver_num" localSheetId="7" hidden="1">1</definedName>
    <definedName name="solver_opt" localSheetId="7" hidden="1">'DCF Valuation'!$G$33</definedName>
    <definedName name="solver_rel1" localSheetId="7" hidden="1">2</definedName>
    <definedName name="solver_rhs1" localSheetId="7" hidden="1">'DCF Valuation'!$B$33</definedName>
    <definedName name="solver_typ" localSheetId="7" hidden="1">3</definedName>
    <definedName name="solver_val" localSheetId="7" hidden="1">0</definedName>
    <definedName name="solver_ver" localSheetId="7" hidden="1">3</definedName>
  </definedNames>
  <calcPr calcId="191029"/>
  <pivotCaches>
    <pivotCache cacheId="3" r:id="rId24"/>
    <pivotCache cacheId="30"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9" i="33" l="1"/>
  <c r="K90" i="33" s="1"/>
  <c r="H89" i="33"/>
  <c r="H90" i="33" s="1"/>
  <c r="I89" i="33"/>
  <c r="I90" i="33" s="1"/>
  <c r="J89" i="33"/>
  <c r="J90" i="33" s="1"/>
  <c r="G89" i="33"/>
  <c r="G90" i="33" s="1"/>
  <c r="F45" i="33"/>
  <c r="C45" i="33"/>
  <c r="D45" i="33"/>
  <c r="E45" i="33"/>
  <c r="B45" i="33"/>
  <c r="G31" i="33"/>
  <c r="H31" i="33" s="1"/>
  <c r="I31" i="33" s="1"/>
  <c r="J31" i="33" s="1"/>
  <c r="K31" i="33" s="1"/>
  <c r="B33" i="33"/>
  <c r="B39" i="33" s="1"/>
  <c r="B47" i="33" s="1"/>
  <c r="C33" i="33"/>
  <c r="C39" i="33" s="1"/>
  <c r="C47" i="33" s="1"/>
  <c r="D33" i="33"/>
  <c r="D39" i="33" s="1"/>
  <c r="D47" i="33" s="1"/>
  <c r="E33" i="33"/>
  <c r="E39" i="33" s="1"/>
  <c r="E47" i="33" s="1"/>
  <c r="F33" i="33"/>
  <c r="F39" i="33" s="1"/>
  <c r="F47" i="33" s="1"/>
  <c r="C10" i="34"/>
  <c r="D10" i="34"/>
  <c r="E5" i="34" s="1"/>
  <c r="E10" i="34"/>
  <c r="F5" i="34" s="1"/>
  <c r="F10" i="34"/>
  <c r="G5" i="34" s="1"/>
  <c r="B10" i="34"/>
  <c r="C5" i="34" s="1"/>
  <c r="K88" i="33" l="1"/>
  <c r="D5" i="34"/>
  <c r="C60" i="33" l="1"/>
  <c r="C54" i="33" s="1"/>
  <c r="C61" i="33" s="1"/>
  <c r="D60" i="33"/>
  <c r="D54" i="33" s="1"/>
  <c r="D61" i="33" s="1"/>
  <c r="E60" i="33"/>
  <c r="E54" i="33" s="1"/>
  <c r="E61" i="33" s="1"/>
  <c r="F60" i="33"/>
  <c r="F54" i="33" s="1"/>
  <c r="B60" i="33"/>
  <c r="G88" i="33"/>
  <c r="B54" i="33" l="1"/>
  <c r="B61" i="33" s="1"/>
  <c r="F61" i="33"/>
  <c r="E40" i="33"/>
  <c r="L7" i="42" l="1"/>
  <c r="K7" i="42"/>
  <c r="J7" i="42"/>
  <c r="J8" i="42"/>
  <c r="D6" i="42"/>
  <c r="B4" i="37"/>
  <c r="E15" i="36"/>
  <c r="E14" i="36"/>
  <c r="C7" i="35"/>
  <c r="B3" i="36"/>
  <c r="F8" i="34"/>
  <c r="B40" i="33"/>
  <c r="B63" i="33" s="1"/>
  <c r="C40" i="33"/>
  <c r="D40" i="33"/>
  <c r="F40" i="33"/>
  <c r="G52" i="33"/>
  <c r="F6" i="34" l="1"/>
  <c r="F9" i="34" s="1"/>
  <c r="M8" i="42"/>
  <c r="L8" i="42"/>
  <c r="K8" i="42"/>
  <c r="D8" i="42"/>
  <c r="M7" i="42"/>
  <c r="D7" i="42"/>
  <c r="L6" i="42"/>
  <c r="K6" i="42"/>
  <c r="J6" i="42"/>
  <c r="M6" i="42"/>
  <c r="G36" i="33" l="1"/>
  <c r="H36" i="33" s="1"/>
  <c r="I36" i="33" s="1"/>
  <c r="J36" i="33" s="1"/>
  <c r="K36" i="33" s="1"/>
  <c r="G37" i="33"/>
  <c r="H37" i="33" s="1"/>
  <c r="I37" i="33" s="1"/>
  <c r="J37" i="33" s="1"/>
  <c r="K37" i="33" s="1"/>
  <c r="G38" i="33"/>
  <c r="H38" i="33" s="1"/>
  <c r="I38" i="33" s="1"/>
  <c r="J38" i="33" s="1"/>
  <c r="K38" i="33" s="1"/>
  <c r="C29" i="30" l="1"/>
  <c r="D29" i="30"/>
  <c r="B29" i="30"/>
  <c r="E29" i="30" l="1"/>
  <c r="F29" i="30"/>
  <c r="G84" i="33"/>
  <c r="B31" i="37" l="1"/>
  <c r="B6" i="37"/>
  <c r="G25" i="37" s="1"/>
  <c r="K25" i="37" l="1"/>
  <c r="C18" i="37"/>
  <c r="D18" i="37"/>
  <c r="E18" i="37"/>
  <c r="F18" i="37"/>
  <c r="B18" i="37"/>
  <c r="G8" i="35" l="1"/>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114" i="35"/>
  <c r="G115" i="35"/>
  <c r="G116" i="35"/>
  <c r="G117" i="35"/>
  <c r="G118" i="35"/>
  <c r="G119" i="35"/>
  <c r="G120" i="35"/>
  <c r="G121" i="35"/>
  <c r="G122" i="35"/>
  <c r="G123" i="35"/>
  <c r="G124" i="35"/>
  <c r="G125" i="35"/>
  <c r="G126" i="35"/>
  <c r="G127" i="35"/>
  <c r="G128" i="35"/>
  <c r="G129" i="35"/>
  <c r="G130" i="35"/>
  <c r="G131" i="35"/>
  <c r="G132" i="35"/>
  <c r="G133" i="35"/>
  <c r="G134" i="35"/>
  <c r="G135" i="35"/>
  <c r="G136" i="35"/>
  <c r="G137" i="35"/>
  <c r="G138" i="35"/>
  <c r="G139" i="35"/>
  <c r="G140" i="35"/>
  <c r="G141" i="35"/>
  <c r="G142" i="35"/>
  <c r="G143" i="35"/>
  <c r="G144" i="35"/>
  <c r="G145" i="35"/>
  <c r="G146" i="35"/>
  <c r="G147" i="35"/>
  <c r="G148" i="35"/>
  <c r="G149" i="35"/>
  <c r="G150" i="35"/>
  <c r="G151" i="35"/>
  <c r="G152" i="35"/>
  <c r="G153" i="35"/>
  <c r="G154" i="35"/>
  <c r="G155" i="35"/>
  <c r="G156" i="35"/>
  <c r="G157" i="35"/>
  <c r="G158" i="35"/>
  <c r="G159" i="35"/>
  <c r="G160" i="35"/>
  <c r="G161" i="35"/>
  <c r="G162" i="35"/>
  <c r="G163" i="35"/>
  <c r="G164" i="35"/>
  <c r="G165" i="35"/>
  <c r="G166" i="35"/>
  <c r="G167" i="35"/>
  <c r="G168" i="35"/>
  <c r="G169" i="35"/>
  <c r="G170" i="35"/>
  <c r="G171" i="35"/>
  <c r="G172" i="35"/>
  <c r="G173" i="35"/>
  <c r="G174" i="35"/>
  <c r="G175" i="35"/>
  <c r="G176" i="35"/>
  <c r="G177" i="35"/>
  <c r="G178" i="35"/>
  <c r="G179" i="35"/>
  <c r="G180" i="35"/>
  <c r="G181" i="35"/>
  <c r="G182" i="35"/>
  <c r="G183" i="35"/>
  <c r="G184" i="35"/>
  <c r="G185" i="35"/>
  <c r="G186" i="35"/>
  <c r="G187" i="35"/>
  <c r="G188" i="35"/>
  <c r="G189" i="35"/>
  <c r="G190" i="35"/>
  <c r="G191" i="35"/>
  <c r="G192" i="35"/>
  <c r="G193" i="35"/>
  <c r="G194" i="35"/>
  <c r="G195" i="35"/>
  <c r="G196" i="35"/>
  <c r="G197" i="35"/>
  <c r="G198" i="35"/>
  <c r="G199" i="35"/>
  <c r="G200" i="35"/>
  <c r="G201" i="35"/>
  <c r="G202" i="35"/>
  <c r="G203" i="35"/>
  <c r="G204" i="35"/>
  <c r="G205" i="35"/>
  <c r="G206" i="35"/>
  <c r="G207" i="35"/>
  <c r="G208" i="35"/>
  <c r="G209" i="35"/>
  <c r="G210" i="35"/>
  <c r="G211" i="35"/>
  <c r="G212" i="35"/>
  <c r="G213" i="35"/>
  <c r="G214" i="35"/>
  <c r="G215" i="35"/>
  <c r="G216" i="35"/>
  <c r="G217" i="35"/>
  <c r="G218" i="35"/>
  <c r="G219" i="35"/>
  <c r="G220" i="35"/>
  <c r="G221" i="35"/>
  <c r="G222" i="35"/>
  <c r="G223" i="35"/>
  <c r="G224" i="35"/>
  <c r="G225" i="35"/>
  <c r="G226" i="35"/>
  <c r="G227" i="35"/>
  <c r="G228" i="35"/>
  <c r="G229" i="35"/>
  <c r="G230" i="35"/>
  <c r="G231" i="35"/>
  <c r="G232" i="35"/>
  <c r="G233" i="35"/>
  <c r="G234" i="35"/>
  <c r="G235" i="35"/>
  <c r="G236" i="35"/>
  <c r="G237" i="35"/>
  <c r="G238" i="35"/>
  <c r="G239" i="35"/>
  <c r="G240" i="35"/>
  <c r="G241" i="35"/>
  <c r="G242" i="35"/>
  <c r="G243" i="35"/>
  <c r="G244" i="35"/>
  <c r="G245" i="35"/>
  <c r="G246" i="35"/>
  <c r="G247" i="35"/>
  <c r="G248" i="35"/>
  <c r="G249" i="35"/>
  <c r="G250" i="35"/>
  <c r="G251" i="35"/>
  <c r="G252" i="35"/>
  <c r="G253" i="35"/>
  <c r="G254" i="35"/>
  <c r="G255" i="35"/>
  <c r="G256" i="35"/>
  <c r="G257" i="35"/>
  <c r="G258" i="35"/>
  <c r="G259" i="35"/>
  <c r="G260" i="35"/>
  <c r="G261" i="35"/>
  <c r="G262" i="35"/>
  <c r="G263" i="35"/>
  <c r="G264" i="35"/>
  <c r="G265" i="35"/>
  <c r="G266" i="35"/>
  <c r="G267" i="35"/>
  <c r="G268" i="35"/>
  <c r="G269" i="35"/>
  <c r="G270" i="35"/>
  <c r="G271" i="35"/>
  <c r="G272" i="35"/>
  <c r="G273" i="35"/>
  <c r="G274" i="35"/>
  <c r="G275" i="35"/>
  <c r="G276" i="35"/>
  <c r="G277" i="35"/>
  <c r="G278" i="35"/>
  <c r="G279" i="35"/>
  <c r="G280" i="35"/>
  <c r="G281" i="35"/>
  <c r="G282" i="35"/>
  <c r="G283" i="35"/>
  <c r="G284" i="35"/>
  <c r="G285" i="35"/>
  <c r="G286" i="35"/>
  <c r="G287" i="35"/>
  <c r="G288" i="35"/>
  <c r="G289" i="35"/>
  <c r="G290" i="35"/>
  <c r="G291" i="35"/>
  <c r="G292" i="35"/>
  <c r="G293" i="35"/>
  <c r="G294" i="35"/>
  <c r="G295" i="35"/>
  <c r="G296" i="35"/>
  <c r="G297" i="35"/>
  <c r="G298" i="35"/>
  <c r="G299" i="35"/>
  <c r="G300" i="35"/>
  <c r="G301" i="35"/>
  <c r="G302" i="35"/>
  <c r="G303" i="35"/>
  <c r="G304" i="35"/>
  <c r="G305" i="35"/>
  <c r="G306" i="35"/>
  <c r="G307" i="35"/>
  <c r="G308" i="35"/>
  <c r="G309" i="35"/>
  <c r="G310" i="35"/>
  <c r="G311" i="35"/>
  <c r="G312" i="35"/>
  <c r="G313" i="35"/>
  <c r="G314" i="35"/>
  <c r="G315" i="35"/>
  <c r="G316" i="35"/>
  <c r="G317" i="35"/>
  <c r="G318" i="35"/>
  <c r="G319" i="35"/>
  <c r="G320" i="35"/>
  <c r="G321" i="35"/>
  <c r="G322" i="35"/>
  <c r="G323" i="35"/>
  <c r="G324" i="35"/>
  <c r="G325" i="35"/>
  <c r="G326" i="35"/>
  <c r="G327" i="35"/>
  <c r="G328" i="35"/>
  <c r="G329" i="35"/>
  <c r="G330" i="35"/>
  <c r="G331" i="35"/>
  <c r="G332" i="35"/>
  <c r="G333" i="35"/>
  <c r="G334" i="35"/>
  <c r="G335" i="35"/>
  <c r="G336" i="35"/>
  <c r="G337" i="35"/>
  <c r="G338" i="35"/>
  <c r="G339" i="35"/>
  <c r="G340" i="35"/>
  <c r="G341" i="35"/>
  <c r="G342" i="35"/>
  <c r="G343" i="35"/>
  <c r="G344" i="35"/>
  <c r="G345" i="35"/>
  <c r="G346" i="35"/>
  <c r="G347" i="35"/>
  <c r="G348" i="35"/>
  <c r="G349" i="35"/>
  <c r="G350" i="35"/>
  <c r="G351" i="35"/>
  <c r="G352" i="35"/>
  <c r="G353" i="35"/>
  <c r="G354" i="35"/>
  <c r="G355" i="35"/>
  <c r="G356" i="35"/>
  <c r="G357" i="35"/>
  <c r="G358" i="35"/>
  <c r="G359" i="35"/>
  <c r="G360" i="35"/>
  <c r="G361" i="35"/>
  <c r="G362" i="35"/>
  <c r="G363" i="35"/>
  <c r="G364" i="35"/>
  <c r="G365" i="35"/>
  <c r="G366" i="35"/>
  <c r="G367" i="35"/>
  <c r="G368" i="35"/>
  <c r="G369" i="35"/>
  <c r="G370" i="35"/>
  <c r="G371" i="35"/>
  <c r="G372" i="35"/>
  <c r="G373" i="35"/>
  <c r="G374" i="35"/>
  <c r="G375" i="35"/>
  <c r="G376" i="35"/>
  <c r="G377" i="35"/>
  <c r="G378" i="35"/>
  <c r="G379" i="35"/>
  <c r="G380" i="35"/>
  <c r="G381" i="35"/>
  <c r="G382" i="35"/>
  <c r="G383" i="35"/>
  <c r="G384" i="35"/>
  <c r="G385" i="35"/>
  <c r="G386" i="35"/>
  <c r="G387" i="35"/>
  <c r="G388" i="35"/>
  <c r="G389" i="35"/>
  <c r="G390" i="35"/>
  <c r="G391" i="35"/>
  <c r="G392" i="35"/>
  <c r="G393" i="35"/>
  <c r="G394" i="35"/>
  <c r="G395" i="35"/>
  <c r="G396" i="35"/>
  <c r="G397" i="35"/>
  <c r="G398" i="35"/>
  <c r="G399" i="35"/>
  <c r="G400" i="35"/>
  <c r="G401" i="35"/>
  <c r="G402" i="35"/>
  <c r="G403" i="35"/>
  <c r="G404" i="35"/>
  <c r="G405" i="35"/>
  <c r="G406" i="35"/>
  <c r="G407" i="35"/>
  <c r="G408" i="35"/>
  <c r="G409" i="35"/>
  <c r="G410" i="35"/>
  <c r="G411" i="35"/>
  <c r="G412" i="35"/>
  <c r="G413" i="35"/>
  <c r="G414" i="35"/>
  <c r="G415" i="35"/>
  <c r="G416" i="35"/>
  <c r="G417" i="35"/>
  <c r="G418" i="35"/>
  <c r="G419" i="35"/>
  <c r="G420" i="35"/>
  <c r="G421" i="35"/>
  <c r="G422" i="35"/>
  <c r="G423" i="35"/>
  <c r="G424" i="35"/>
  <c r="G425" i="35"/>
  <c r="G426" i="35"/>
  <c r="G427" i="35"/>
  <c r="G428" i="35"/>
  <c r="G429" i="35"/>
  <c r="G430" i="35"/>
  <c r="G431" i="35"/>
  <c r="G432" i="35"/>
  <c r="G433" i="35"/>
  <c r="G434" i="35"/>
  <c r="G435" i="35"/>
  <c r="G436" i="35"/>
  <c r="G437" i="35"/>
  <c r="G438" i="35"/>
  <c r="G439" i="35"/>
  <c r="G440" i="35"/>
  <c r="G441" i="35"/>
  <c r="G442" i="35"/>
  <c r="G443" i="35"/>
  <c r="G444" i="35"/>
  <c r="G445" i="35"/>
  <c r="G446" i="35"/>
  <c r="G447" i="35"/>
  <c r="G448" i="35"/>
  <c r="G449" i="35"/>
  <c r="G450" i="35"/>
  <c r="G451" i="35"/>
  <c r="G452" i="35"/>
  <c r="G453" i="35"/>
  <c r="G454" i="35"/>
  <c r="G455" i="35"/>
  <c r="G456" i="35"/>
  <c r="G457" i="35"/>
  <c r="G458" i="35"/>
  <c r="G459" i="35"/>
  <c r="G460" i="35"/>
  <c r="G461" i="35"/>
  <c r="G462" i="35"/>
  <c r="G463" i="35"/>
  <c r="G464" i="35"/>
  <c r="G465" i="35"/>
  <c r="G466" i="35"/>
  <c r="G467" i="35"/>
  <c r="G468" i="35"/>
  <c r="G469" i="35"/>
  <c r="G470" i="35"/>
  <c r="G471" i="35"/>
  <c r="G472" i="35"/>
  <c r="G473" i="35"/>
  <c r="G474" i="35"/>
  <c r="G475" i="35"/>
  <c r="G476" i="35"/>
  <c r="G477" i="35"/>
  <c r="G478" i="35"/>
  <c r="G479" i="35"/>
  <c r="G480" i="35"/>
  <c r="G481" i="35"/>
  <c r="G482" i="35"/>
  <c r="G483" i="35"/>
  <c r="G484" i="35"/>
  <c r="G485" i="35"/>
  <c r="G486" i="35"/>
  <c r="G487" i="35"/>
  <c r="G488" i="35"/>
  <c r="G489" i="35"/>
  <c r="G490" i="35"/>
  <c r="G491" i="35"/>
  <c r="G492" i="35"/>
  <c r="G493" i="35"/>
  <c r="G494" i="35"/>
  <c r="G495" i="35"/>
  <c r="G496" i="35"/>
  <c r="G497" i="35"/>
  <c r="G498" i="35"/>
  <c r="G499" i="35"/>
  <c r="G500" i="35"/>
  <c r="G501" i="35"/>
  <c r="G502" i="35"/>
  <c r="G503" i="35"/>
  <c r="G504" i="35"/>
  <c r="G505" i="35"/>
  <c r="G506" i="35"/>
  <c r="G507" i="35"/>
  <c r="G508" i="35"/>
  <c r="G509" i="35"/>
  <c r="G510" i="35"/>
  <c r="G511" i="35"/>
  <c r="G512" i="35"/>
  <c r="G513" i="35"/>
  <c r="G514" i="35"/>
  <c r="G515" i="35"/>
  <c r="G516" i="35"/>
  <c r="G517" i="35"/>
  <c r="G518" i="35"/>
  <c r="G519" i="35"/>
  <c r="G520" i="35"/>
  <c r="G521" i="35"/>
  <c r="G522" i="35"/>
  <c r="G523" i="35"/>
  <c r="G524" i="35"/>
  <c r="G525" i="35"/>
  <c r="G526" i="35"/>
  <c r="G527" i="35"/>
  <c r="G528" i="35"/>
  <c r="G529" i="35"/>
  <c r="G530" i="35"/>
  <c r="G531" i="35"/>
  <c r="G532" i="35"/>
  <c r="G533" i="35"/>
  <c r="G534" i="35"/>
  <c r="G535" i="35"/>
  <c r="G536" i="35"/>
  <c r="G537" i="35"/>
  <c r="G538" i="35"/>
  <c r="G539" i="35"/>
  <c r="G540" i="35"/>
  <c r="G541" i="35"/>
  <c r="G542" i="35"/>
  <c r="G543" i="35"/>
  <c r="G544" i="35"/>
  <c r="G545" i="35"/>
  <c r="G546" i="35"/>
  <c r="G547" i="35"/>
  <c r="G548" i="35"/>
  <c r="G549" i="35"/>
  <c r="G550" i="35"/>
  <c r="G551" i="35"/>
  <c r="G552" i="35"/>
  <c r="G553" i="35"/>
  <c r="G554" i="35"/>
  <c r="G555" i="35"/>
  <c r="G556" i="35"/>
  <c r="G557" i="35"/>
  <c r="G558" i="35"/>
  <c r="G559" i="35"/>
  <c r="G560" i="35"/>
  <c r="G561" i="35"/>
  <c r="G562" i="35"/>
  <c r="G563" i="35"/>
  <c r="G564" i="35"/>
  <c r="G565" i="35"/>
  <c r="G566" i="35"/>
  <c r="G567" i="35"/>
  <c r="G568" i="35"/>
  <c r="G569" i="35"/>
  <c r="G570" i="35"/>
  <c r="G571" i="35"/>
  <c r="G572" i="35"/>
  <c r="G573" i="35"/>
  <c r="G574" i="35"/>
  <c r="G575" i="35"/>
  <c r="G576" i="35"/>
  <c r="G577" i="35"/>
  <c r="G578" i="35"/>
  <c r="G579" i="35"/>
  <c r="G580" i="35"/>
  <c r="G581" i="35"/>
  <c r="G582" i="35"/>
  <c r="G583" i="35"/>
  <c r="G584" i="35"/>
  <c r="G585" i="35"/>
  <c r="G586" i="35"/>
  <c r="G587" i="35"/>
  <c r="G588" i="35"/>
  <c r="G589" i="35"/>
  <c r="G590" i="35"/>
  <c r="G591" i="35"/>
  <c r="G592" i="35"/>
  <c r="G593" i="35"/>
  <c r="G594" i="35"/>
  <c r="G595" i="35"/>
  <c r="G596" i="35"/>
  <c r="G597" i="35"/>
  <c r="G598" i="35"/>
  <c r="G599" i="35"/>
  <c r="G600" i="35"/>
  <c r="G601" i="35"/>
  <c r="G602" i="35"/>
  <c r="G603" i="35"/>
  <c r="G604" i="35"/>
  <c r="G605" i="35"/>
  <c r="G606" i="35"/>
  <c r="G607" i="35"/>
  <c r="G608" i="35"/>
  <c r="G609" i="35"/>
  <c r="G610" i="35"/>
  <c r="G611" i="35"/>
  <c r="G612" i="35"/>
  <c r="G613" i="35"/>
  <c r="G614" i="35"/>
  <c r="G615" i="35"/>
  <c r="G616" i="35"/>
  <c r="G617" i="35"/>
  <c r="G618" i="35"/>
  <c r="G619" i="35"/>
  <c r="G620" i="35"/>
  <c r="G621" i="35"/>
  <c r="G622" i="35"/>
  <c r="G623" i="35"/>
  <c r="G624" i="35"/>
  <c r="G625" i="35"/>
  <c r="G626" i="35"/>
  <c r="G627" i="35"/>
  <c r="G628" i="35"/>
  <c r="G629" i="35"/>
  <c r="G630" i="35"/>
  <c r="G631" i="35"/>
  <c r="G632" i="35"/>
  <c r="G633" i="35"/>
  <c r="G634" i="35"/>
  <c r="G635" i="35"/>
  <c r="G636" i="35"/>
  <c r="G637" i="35"/>
  <c r="G638" i="35"/>
  <c r="G639" i="35"/>
  <c r="G640" i="35"/>
  <c r="G641" i="35"/>
  <c r="G642" i="35"/>
  <c r="G643" i="35"/>
  <c r="G644" i="35"/>
  <c r="G645" i="35"/>
  <c r="G646" i="35"/>
  <c r="G647" i="35"/>
  <c r="G648" i="35"/>
  <c r="G649" i="35"/>
  <c r="G650" i="35"/>
  <c r="G651" i="35"/>
  <c r="G652" i="35"/>
  <c r="G653" i="35"/>
  <c r="G654" i="35"/>
  <c r="G655" i="35"/>
  <c r="G656" i="35"/>
  <c r="G657" i="35"/>
  <c r="G658" i="35"/>
  <c r="G659" i="35"/>
  <c r="G660" i="35"/>
  <c r="G661" i="35"/>
  <c r="G662" i="35"/>
  <c r="G663" i="35"/>
  <c r="G664" i="35"/>
  <c r="G665" i="35"/>
  <c r="G666" i="35"/>
  <c r="G667" i="35"/>
  <c r="G668" i="35"/>
  <c r="G669" i="35"/>
  <c r="G670" i="35"/>
  <c r="G671" i="35"/>
  <c r="G672" i="35"/>
  <c r="G673" i="35"/>
  <c r="G674" i="35"/>
  <c r="G675" i="35"/>
  <c r="G676" i="35"/>
  <c r="G677" i="35"/>
  <c r="G678" i="35"/>
  <c r="G679" i="35"/>
  <c r="G680" i="35"/>
  <c r="G681" i="35"/>
  <c r="G682" i="35"/>
  <c r="G683" i="35"/>
  <c r="G684" i="35"/>
  <c r="G685" i="35"/>
  <c r="G686" i="35"/>
  <c r="G687" i="35"/>
  <c r="G688" i="35"/>
  <c r="G689" i="35"/>
  <c r="G690" i="35"/>
  <c r="G691" i="35"/>
  <c r="G692" i="35"/>
  <c r="G693" i="35"/>
  <c r="G694" i="35"/>
  <c r="G695" i="35"/>
  <c r="G696" i="35"/>
  <c r="G697" i="35"/>
  <c r="G698" i="35"/>
  <c r="G699" i="35"/>
  <c r="G700" i="35"/>
  <c r="G701" i="35"/>
  <c r="G702" i="35"/>
  <c r="G703" i="35"/>
  <c r="G704" i="35"/>
  <c r="G705" i="35"/>
  <c r="G706" i="35"/>
  <c r="G707" i="35"/>
  <c r="G708" i="35"/>
  <c r="G709" i="35"/>
  <c r="G710" i="35"/>
  <c r="G711" i="35"/>
  <c r="G712" i="35"/>
  <c r="G713" i="35"/>
  <c r="G714" i="35"/>
  <c r="G715" i="35"/>
  <c r="G716" i="35"/>
  <c r="G717" i="35"/>
  <c r="G718" i="35"/>
  <c r="G719" i="35"/>
  <c r="G720" i="35"/>
  <c r="G721" i="35"/>
  <c r="G722" i="35"/>
  <c r="G723" i="35"/>
  <c r="G724" i="35"/>
  <c r="G725" i="35"/>
  <c r="G726" i="35"/>
  <c r="G727" i="35"/>
  <c r="G728" i="35"/>
  <c r="G729" i="35"/>
  <c r="G730" i="35"/>
  <c r="G731" i="35"/>
  <c r="G732" i="35"/>
  <c r="G733" i="35"/>
  <c r="G734" i="35"/>
  <c r="G735" i="35"/>
  <c r="G736" i="35"/>
  <c r="G737" i="35"/>
  <c r="G738" i="35"/>
  <c r="G739" i="35"/>
  <c r="G740" i="35"/>
  <c r="G741" i="35"/>
  <c r="G742" i="35"/>
  <c r="G743" i="35"/>
  <c r="G744" i="35"/>
  <c r="G745" i="35"/>
  <c r="G746" i="35"/>
  <c r="G747" i="35"/>
  <c r="G748" i="35"/>
  <c r="G749" i="35"/>
  <c r="G750" i="35"/>
  <c r="G751" i="35"/>
  <c r="G752" i="35"/>
  <c r="G753" i="35"/>
  <c r="G754" i="35"/>
  <c r="G755" i="35"/>
  <c r="G756" i="35"/>
  <c r="G757" i="35"/>
  <c r="G758" i="35"/>
  <c r="G759" i="35"/>
  <c r="G760" i="35"/>
  <c r="G761" i="35"/>
  <c r="G762" i="35"/>
  <c r="G763" i="35"/>
  <c r="G764" i="35"/>
  <c r="G765" i="35"/>
  <c r="G766" i="35"/>
  <c r="G767" i="35"/>
  <c r="G768" i="35"/>
  <c r="G769" i="35"/>
  <c r="G770" i="35"/>
  <c r="G771" i="35"/>
  <c r="G772" i="35"/>
  <c r="G773" i="35"/>
  <c r="G774" i="35"/>
  <c r="G775" i="35"/>
  <c r="G776" i="35"/>
  <c r="G777" i="35"/>
  <c r="G778" i="35"/>
  <c r="G779" i="35"/>
  <c r="G780" i="35"/>
  <c r="G781" i="35"/>
  <c r="G782" i="35"/>
  <c r="G783" i="35"/>
  <c r="G784" i="35"/>
  <c r="G785" i="35"/>
  <c r="G786" i="35"/>
  <c r="G787" i="35"/>
  <c r="G788" i="35"/>
  <c r="G789" i="35"/>
  <c r="G790" i="35"/>
  <c r="G791" i="35"/>
  <c r="G792" i="35"/>
  <c r="G793" i="35"/>
  <c r="G794" i="35"/>
  <c r="G795" i="35"/>
  <c r="G796" i="35"/>
  <c r="G797" i="35"/>
  <c r="G798" i="35"/>
  <c r="G799" i="35"/>
  <c r="G800" i="35"/>
  <c r="G801" i="35"/>
  <c r="G802" i="35"/>
  <c r="G803" i="35"/>
  <c r="G804" i="35"/>
  <c r="G805" i="35"/>
  <c r="G806" i="35"/>
  <c r="G807" i="35"/>
  <c r="G808" i="35"/>
  <c r="G809" i="35"/>
  <c r="G810" i="35"/>
  <c r="G811" i="35"/>
  <c r="G812" i="35"/>
  <c r="G813" i="35"/>
  <c r="G814" i="35"/>
  <c r="G815" i="35"/>
  <c r="G816" i="35"/>
  <c r="G817" i="35"/>
  <c r="G818" i="35"/>
  <c r="G819" i="35"/>
  <c r="G820" i="35"/>
  <c r="G821" i="35"/>
  <c r="G822" i="35"/>
  <c r="G823" i="35"/>
  <c r="G824" i="35"/>
  <c r="G825" i="35"/>
  <c r="G826" i="35"/>
  <c r="G827" i="35"/>
  <c r="G828" i="35"/>
  <c r="G829" i="35"/>
  <c r="G830" i="35"/>
  <c r="G831" i="35"/>
  <c r="G832" i="35"/>
  <c r="G833" i="35"/>
  <c r="G834" i="35"/>
  <c r="G835" i="35"/>
  <c r="G836" i="35"/>
  <c r="G837" i="35"/>
  <c r="G838" i="35"/>
  <c r="G839" i="35"/>
  <c r="G840" i="35"/>
  <c r="G841" i="35"/>
  <c r="G842" i="35"/>
  <c r="G843" i="35"/>
  <c r="G844" i="35"/>
  <c r="G845" i="35"/>
  <c r="G846" i="35"/>
  <c r="G847" i="35"/>
  <c r="G848" i="35"/>
  <c r="G849" i="35"/>
  <c r="G850" i="35"/>
  <c r="G851" i="35"/>
  <c r="G852" i="35"/>
  <c r="G853" i="35"/>
  <c r="G854" i="35"/>
  <c r="G855" i="35"/>
  <c r="G856" i="35"/>
  <c r="G857" i="35"/>
  <c r="G858" i="35"/>
  <c r="G859" i="35"/>
  <c r="G860" i="35"/>
  <c r="G861" i="35"/>
  <c r="G862" i="35"/>
  <c r="G863" i="35"/>
  <c r="G864" i="35"/>
  <c r="G865" i="35"/>
  <c r="G866" i="35"/>
  <c r="G867" i="35"/>
  <c r="G868" i="35"/>
  <c r="G869" i="35"/>
  <c r="G870" i="35"/>
  <c r="G871" i="35"/>
  <c r="G872" i="35"/>
  <c r="G873" i="35"/>
  <c r="G874" i="35"/>
  <c r="G875" i="35"/>
  <c r="G876" i="35"/>
  <c r="G877" i="35"/>
  <c r="G878" i="35"/>
  <c r="G879" i="35"/>
  <c r="G880" i="35"/>
  <c r="G881" i="35"/>
  <c r="G882" i="35"/>
  <c r="G883" i="35"/>
  <c r="G884" i="35"/>
  <c r="G885" i="35"/>
  <c r="G886" i="35"/>
  <c r="G887" i="35"/>
  <c r="G888" i="35"/>
  <c r="G889" i="35"/>
  <c r="G890" i="35"/>
  <c r="G891" i="35"/>
  <c r="G892" i="35"/>
  <c r="G893" i="35"/>
  <c r="G894" i="35"/>
  <c r="G895" i="35"/>
  <c r="G896" i="35"/>
  <c r="G897" i="35"/>
  <c r="G898" i="35"/>
  <c r="G899" i="35"/>
  <c r="G900" i="35"/>
  <c r="G901" i="35"/>
  <c r="G902" i="35"/>
  <c r="G903" i="35"/>
  <c r="G904" i="35"/>
  <c r="G905" i="35"/>
  <c r="G906" i="35"/>
  <c r="G907" i="35"/>
  <c r="G908" i="35"/>
  <c r="G909" i="35"/>
  <c r="G910" i="35"/>
  <c r="G911" i="35"/>
  <c r="G912" i="35"/>
  <c r="G913" i="35"/>
  <c r="G914" i="35"/>
  <c r="G915" i="35"/>
  <c r="G916" i="35"/>
  <c r="G917" i="35"/>
  <c r="G918" i="35"/>
  <c r="G919" i="35"/>
  <c r="G920" i="35"/>
  <c r="G921" i="35"/>
  <c r="G922" i="35"/>
  <c r="G923" i="35"/>
  <c r="G924" i="35"/>
  <c r="G925" i="35"/>
  <c r="G926" i="35"/>
  <c r="G927" i="35"/>
  <c r="G928" i="35"/>
  <c r="G929" i="35"/>
  <c r="G930" i="35"/>
  <c r="G931" i="35"/>
  <c r="G932" i="35"/>
  <c r="G933" i="35"/>
  <c r="G934" i="35"/>
  <c r="G935" i="35"/>
  <c r="G936" i="35"/>
  <c r="G937" i="35"/>
  <c r="G938" i="35"/>
  <c r="G939" i="35"/>
  <c r="G940" i="35"/>
  <c r="G941" i="35"/>
  <c r="G942" i="35"/>
  <c r="G943" i="35"/>
  <c r="G944" i="35"/>
  <c r="G945" i="35"/>
  <c r="G946" i="35"/>
  <c r="G947" i="35"/>
  <c r="G948" i="35"/>
  <c r="G949" i="35"/>
  <c r="G950" i="35"/>
  <c r="G951" i="35"/>
  <c r="G952" i="35"/>
  <c r="G953" i="35"/>
  <c r="G954" i="35"/>
  <c r="G955" i="35"/>
  <c r="G956" i="35"/>
  <c r="G957" i="35"/>
  <c r="G958" i="35"/>
  <c r="G959" i="35"/>
  <c r="G960" i="35"/>
  <c r="G961" i="35"/>
  <c r="G962" i="35"/>
  <c r="G963" i="35"/>
  <c r="G964" i="35"/>
  <c r="G965" i="35"/>
  <c r="G966" i="35"/>
  <c r="G967" i="35"/>
  <c r="G968" i="35"/>
  <c r="G969" i="35"/>
  <c r="G970" i="35"/>
  <c r="G971" i="35"/>
  <c r="G972" i="35"/>
  <c r="G973" i="35"/>
  <c r="G974" i="35"/>
  <c r="G975" i="35"/>
  <c r="G976" i="35"/>
  <c r="G977" i="35"/>
  <c r="G978" i="35"/>
  <c r="G979" i="35"/>
  <c r="G980" i="35"/>
  <c r="G981" i="35"/>
  <c r="G982" i="35"/>
  <c r="G983" i="35"/>
  <c r="G984" i="35"/>
  <c r="G985" i="35"/>
  <c r="G986" i="35"/>
  <c r="G987" i="35"/>
  <c r="G988" i="35"/>
  <c r="G989" i="35"/>
  <c r="G990" i="35"/>
  <c r="G991" i="35"/>
  <c r="G992" i="35"/>
  <c r="G993" i="35"/>
  <c r="G994" i="35"/>
  <c r="G995" i="35"/>
  <c r="G996" i="35"/>
  <c r="G997" i="35"/>
  <c r="G998" i="35"/>
  <c r="G999" i="35"/>
  <c r="G1000" i="35"/>
  <c r="G1001" i="35"/>
  <c r="G1002" i="35"/>
  <c r="G1003" i="35"/>
  <c r="G1004" i="35"/>
  <c r="G1005" i="35"/>
  <c r="G1006" i="35"/>
  <c r="G1007" i="35"/>
  <c r="G1008" i="35"/>
  <c r="G1009" i="35"/>
  <c r="G1010" i="35"/>
  <c r="G1011" i="35"/>
  <c r="G1012" i="35"/>
  <c r="G1013" i="35"/>
  <c r="G1014" i="35"/>
  <c r="G1015" i="35"/>
  <c r="G1016" i="35"/>
  <c r="G1017" i="35"/>
  <c r="G1018" i="35"/>
  <c r="G1019" i="35"/>
  <c r="G1020" i="35"/>
  <c r="G1021" i="35"/>
  <c r="G1022" i="35"/>
  <c r="G1023" i="35"/>
  <c r="G1024" i="35"/>
  <c r="G1025" i="35"/>
  <c r="G1026" i="35"/>
  <c r="G1027" i="35"/>
  <c r="G1028" i="35"/>
  <c r="G1029" i="35"/>
  <c r="G1030" i="35"/>
  <c r="G1031" i="35"/>
  <c r="G1032" i="35"/>
  <c r="G1033" i="35"/>
  <c r="G1034" i="35"/>
  <c r="G1035" i="35"/>
  <c r="G1036" i="35"/>
  <c r="G1037" i="35"/>
  <c r="G1038" i="35"/>
  <c r="G1039" i="35"/>
  <c r="G1040" i="35"/>
  <c r="G1041" i="35"/>
  <c r="G1042" i="35"/>
  <c r="G1043" i="35"/>
  <c r="G1044" i="35"/>
  <c r="G1045" i="35"/>
  <c r="G1046" i="35"/>
  <c r="G1047" i="35"/>
  <c r="G1048" i="35"/>
  <c r="G1049" i="35"/>
  <c r="G1050" i="35"/>
  <c r="G1051" i="35"/>
  <c r="G1052" i="35"/>
  <c r="G1053" i="35"/>
  <c r="G1054" i="35"/>
  <c r="G1055" i="35"/>
  <c r="G1056" i="35"/>
  <c r="G1057" i="35"/>
  <c r="G1058" i="35"/>
  <c r="G1059" i="35"/>
  <c r="G1060" i="35"/>
  <c r="G1061" i="35"/>
  <c r="G1062" i="35"/>
  <c r="G1063" i="35"/>
  <c r="G1064" i="35"/>
  <c r="G1065" i="35"/>
  <c r="G1066" i="35"/>
  <c r="G1067" i="35"/>
  <c r="G1068" i="35"/>
  <c r="G1069" i="35"/>
  <c r="G1070" i="35"/>
  <c r="G1071" i="35"/>
  <c r="G1072" i="35"/>
  <c r="G1073" i="35"/>
  <c r="G1074" i="35"/>
  <c r="G1075" i="35"/>
  <c r="G1076" i="35"/>
  <c r="G1077" i="35"/>
  <c r="G1078" i="35"/>
  <c r="G1079" i="35"/>
  <c r="G1080" i="35"/>
  <c r="G1081" i="35"/>
  <c r="G1082" i="35"/>
  <c r="G1083" i="35"/>
  <c r="G1084" i="35"/>
  <c r="G1085" i="35"/>
  <c r="G1086" i="35"/>
  <c r="G1087" i="35"/>
  <c r="G1088" i="35"/>
  <c r="G1089" i="35"/>
  <c r="G1090" i="35"/>
  <c r="G1091" i="35"/>
  <c r="G1092" i="35"/>
  <c r="G1093" i="35"/>
  <c r="G1094" i="35"/>
  <c r="G1095" i="35"/>
  <c r="G1096" i="35"/>
  <c r="G1097" i="35"/>
  <c r="G1098" i="35"/>
  <c r="G1099" i="35"/>
  <c r="G1100" i="35"/>
  <c r="G1101" i="35"/>
  <c r="G1102" i="35"/>
  <c r="G1103" i="35"/>
  <c r="G1104" i="35"/>
  <c r="G1105" i="35"/>
  <c r="G1106" i="35"/>
  <c r="G1107" i="35"/>
  <c r="G1108" i="35"/>
  <c r="G1109" i="35"/>
  <c r="G1110" i="35"/>
  <c r="G1111" i="35"/>
  <c r="G1112" i="35"/>
  <c r="G1113" i="35"/>
  <c r="G1114" i="35"/>
  <c r="G1115" i="35"/>
  <c r="G1116" i="35"/>
  <c r="G1117" i="35"/>
  <c r="G1118" i="35"/>
  <c r="G1119" i="35"/>
  <c r="G1120" i="35"/>
  <c r="G1121" i="35"/>
  <c r="G1122" i="35"/>
  <c r="G1123" i="35"/>
  <c r="G1124" i="35"/>
  <c r="G1125" i="35"/>
  <c r="G1126" i="35"/>
  <c r="G1127" i="35"/>
  <c r="G1128" i="35"/>
  <c r="G1129" i="35"/>
  <c r="G1130" i="35"/>
  <c r="G1131" i="35"/>
  <c r="G1132" i="35"/>
  <c r="G1133" i="35"/>
  <c r="G1134" i="35"/>
  <c r="G1135" i="35"/>
  <c r="G1136" i="35"/>
  <c r="G1137" i="35"/>
  <c r="G1138" i="35"/>
  <c r="G1139" i="35"/>
  <c r="G1140" i="35"/>
  <c r="G1141" i="35"/>
  <c r="G1142" i="35"/>
  <c r="G1143" i="35"/>
  <c r="G1144" i="35"/>
  <c r="G1145" i="35"/>
  <c r="G1146" i="35"/>
  <c r="G1147" i="35"/>
  <c r="G1148" i="35"/>
  <c r="G1149" i="35"/>
  <c r="G1150" i="35"/>
  <c r="G1151" i="35"/>
  <c r="G1152" i="35"/>
  <c r="G1153" i="35"/>
  <c r="G1154" i="35"/>
  <c r="G1155" i="35"/>
  <c r="G1156" i="35"/>
  <c r="G1157" i="35"/>
  <c r="G1158" i="35"/>
  <c r="G1159" i="35"/>
  <c r="G1160" i="35"/>
  <c r="G1161" i="35"/>
  <c r="G1162" i="35"/>
  <c r="G1163" i="35"/>
  <c r="G1164" i="35"/>
  <c r="G1165" i="35"/>
  <c r="G1166" i="35"/>
  <c r="G1167" i="35"/>
  <c r="G1168" i="35"/>
  <c r="G1169" i="35"/>
  <c r="G1170" i="35"/>
  <c r="G1171" i="35"/>
  <c r="G1172" i="35"/>
  <c r="G1173" i="35"/>
  <c r="G1174" i="35"/>
  <c r="G1175" i="35"/>
  <c r="G1176" i="35"/>
  <c r="G1177" i="35"/>
  <c r="G1178" i="35"/>
  <c r="G1179" i="35"/>
  <c r="G1180" i="35"/>
  <c r="G1181" i="35"/>
  <c r="G1182" i="35"/>
  <c r="G1183" i="35"/>
  <c r="G1184" i="35"/>
  <c r="G1185" i="35"/>
  <c r="G1186" i="35"/>
  <c r="G1187" i="35"/>
  <c r="G1188" i="35"/>
  <c r="G1189" i="35"/>
  <c r="G1190" i="35"/>
  <c r="G1191" i="35"/>
  <c r="G1192" i="35"/>
  <c r="G1193" i="35"/>
  <c r="G1194" i="35"/>
  <c r="G1195" i="35"/>
  <c r="G1196" i="35"/>
  <c r="G1197" i="35"/>
  <c r="G1198" i="35"/>
  <c r="G1199" i="35"/>
  <c r="G1200" i="35"/>
  <c r="G1201" i="35"/>
  <c r="G1202" i="35"/>
  <c r="G1203" i="35"/>
  <c r="G1204" i="35"/>
  <c r="G1205" i="35"/>
  <c r="G1206" i="35"/>
  <c r="G1207" i="35"/>
  <c r="G1208" i="35"/>
  <c r="G1209" i="35"/>
  <c r="G1210" i="35"/>
  <c r="G1211" i="35"/>
  <c r="G1212" i="35"/>
  <c r="G1213" i="35"/>
  <c r="G1214" i="35"/>
  <c r="G1215" i="35"/>
  <c r="G1216" i="35"/>
  <c r="G1217" i="35"/>
  <c r="G1218" i="35"/>
  <c r="G1219" i="35"/>
  <c r="G1220" i="35"/>
  <c r="G1221" i="35"/>
  <c r="G1222" i="35"/>
  <c r="G1223" i="35"/>
  <c r="G1224" i="35"/>
  <c r="G1225" i="35"/>
  <c r="G1226" i="35"/>
  <c r="G1227" i="35"/>
  <c r="G1228" i="35"/>
  <c r="G1229" i="35"/>
  <c r="G1230" i="35"/>
  <c r="G1231" i="35"/>
  <c r="G1232" i="35"/>
  <c r="G1233" i="35"/>
  <c r="G1234" i="35"/>
  <c r="G1235" i="35"/>
  <c r="G1236" i="35"/>
  <c r="G1237" i="35"/>
  <c r="G1238" i="35"/>
  <c r="G1239" i="35"/>
  <c r="G1240" i="35"/>
  <c r="G1241" i="35"/>
  <c r="G1242" i="35"/>
  <c r="G1243" i="35"/>
  <c r="G7" i="35"/>
  <c r="C8" i="35"/>
  <c r="C9" i="35"/>
  <c r="C10" i="35"/>
  <c r="C11" i="35"/>
  <c r="C12" i="35"/>
  <c r="C13" i="35"/>
  <c r="C14" i="35"/>
  <c r="C15" i="35"/>
  <c r="C16" i="35"/>
  <c r="C17" i="35"/>
  <c r="C18" i="35"/>
  <c r="C19" i="35"/>
  <c r="C20" i="35"/>
  <c r="C21" i="35"/>
  <c r="C22" i="35"/>
  <c r="C23" i="35"/>
  <c r="C24" i="35"/>
  <c r="C25" i="35"/>
  <c r="C26" i="35"/>
  <c r="C27" i="35"/>
  <c r="C28" i="35"/>
  <c r="C29" i="35"/>
  <c r="C30" i="35"/>
  <c r="C31" i="35"/>
  <c r="C32" i="35"/>
  <c r="C33" i="35"/>
  <c r="C34" i="35"/>
  <c r="C35" i="35"/>
  <c r="C36" i="35"/>
  <c r="C37" i="35"/>
  <c r="C38" i="35"/>
  <c r="C39" i="35"/>
  <c r="C40" i="35"/>
  <c r="C41" i="35"/>
  <c r="C42" i="35"/>
  <c r="C43" i="35"/>
  <c r="C44" i="35"/>
  <c r="C45" i="35"/>
  <c r="C46" i="35"/>
  <c r="C47" i="35"/>
  <c r="C48" i="35"/>
  <c r="C49" i="35"/>
  <c r="C50" i="35"/>
  <c r="C51" i="35"/>
  <c r="C52" i="35"/>
  <c r="C53" i="35"/>
  <c r="C54" i="35"/>
  <c r="C55" i="35"/>
  <c r="C56" i="35"/>
  <c r="C57" i="35"/>
  <c r="C58" i="35"/>
  <c r="C59" i="35"/>
  <c r="C60" i="35"/>
  <c r="C61" i="35"/>
  <c r="C62" i="35"/>
  <c r="C63" i="35"/>
  <c r="C64" i="35"/>
  <c r="C65" i="35"/>
  <c r="C66" i="35"/>
  <c r="C67" i="35"/>
  <c r="C68" i="35"/>
  <c r="C69" i="35"/>
  <c r="C70" i="35"/>
  <c r="C71" i="35"/>
  <c r="C72" i="35"/>
  <c r="C73" i="35"/>
  <c r="C74" i="35"/>
  <c r="C75" i="35"/>
  <c r="C76" i="35"/>
  <c r="C77" i="35"/>
  <c r="C78" i="35"/>
  <c r="C79" i="35"/>
  <c r="C80" i="35"/>
  <c r="C81" i="35"/>
  <c r="C82" i="35"/>
  <c r="C83" i="35"/>
  <c r="C84" i="35"/>
  <c r="C85" i="35"/>
  <c r="C86" i="35"/>
  <c r="C87" i="35"/>
  <c r="C88" i="35"/>
  <c r="C89" i="35"/>
  <c r="C90" i="35"/>
  <c r="C91" i="35"/>
  <c r="C92" i="35"/>
  <c r="C93" i="35"/>
  <c r="C94" i="35"/>
  <c r="C95" i="35"/>
  <c r="C96" i="35"/>
  <c r="C97" i="35"/>
  <c r="C98" i="35"/>
  <c r="C99" i="35"/>
  <c r="C100" i="35"/>
  <c r="C101" i="35"/>
  <c r="C102" i="35"/>
  <c r="C103" i="35"/>
  <c r="C104" i="35"/>
  <c r="C105" i="35"/>
  <c r="C106" i="35"/>
  <c r="C107" i="35"/>
  <c r="C108" i="35"/>
  <c r="C109" i="35"/>
  <c r="C110" i="35"/>
  <c r="C111" i="35"/>
  <c r="C112" i="35"/>
  <c r="C113" i="35"/>
  <c r="C114" i="35"/>
  <c r="C115" i="35"/>
  <c r="C116" i="35"/>
  <c r="C117" i="35"/>
  <c r="C118" i="35"/>
  <c r="C119" i="35"/>
  <c r="C120" i="35"/>
  <c r="C121" i="35"/>
  <c r="C122" i="35"/>
  <c r="C123" i="35"/>
  <c r="C124" i="35"/>
  <c r="C125" i="35"/>
  <c r="C126" i="35"/>
  <c r="C127" i="35"/>
  <c r="C128" i="35"/>
  <c r="C129" i="35"/>
  <c r="C130" i="35"/>
  <c r="C131" i="35"/>
  <c r="C132" i="35"/>
  <c r="C133" i="35"/>
  <c r="C134" i="35"/>
  <c r="C135" i="35"/>
  <c r="C136" i="35"/>
  <c r="C137" i="35"/>
  <c r="C138" i="35"/>
  <c r="C139" i="35"/>
  <c r="C140" i="35"/>
  <c r="C141" i="35"/>
  <c r="C142" i="35"/>
  <c r="C143" i="35"/>
  <c r="C144" i="35"/>
  <c r="C145" i="35"/>
  <c r="C146" i="35"/>
  <c r="C147" i="35"/>
  <c r="C148" i="35"/>
  <c r="C149" i="35"/>
  <c r="C150" i="35"/>
  <c r="C151" i="35"/>
  <c r="C152" i="35"/>
  <c r="C153" i="35"/>
  <c r="C154" i="35"/>
  <c r="C155" i="35"/>
  <c r="C156" i="35"/>
  <c r="C157" i="35"/>
  <c r="C158" i="35"/>
  <c r="C159" i="35"/>
  <c r="C160" i="35"/>
  <c r="C161" i="35"/>
  <c r="C162" i="35"/>
  <c r="C163" i="35"/>
  <c r="C164" i="35"/>
  <c r="C165" i="35"/>
  <c r="C166" i="35"/>
  <c r="C167" i="35"/>
  <c r="C168" i="35"/>
  <c r="C169" i="35"/>
  <c r="C170" i="35"/>
  <c r="C171" i="35"/>
  <c r="C172" i="35"/>
  <c r="C173" i="35"/>
  <c r="C174" i="35"/>
  <c r="C175" i="35"/>
  <c r="C176" i="35"/>
  <c r="C177" i="35"/>
  <c r="C178" i="35"/>
  <c r="C179" i="35"/>
  <c r="C180" i="35"/>
  <c r="C181" i="35"/>
  <c r="C182" i="35"/>
  <c r="C183" i="35"/>
  <c r="C184" i="35"/>
  <c r="C185" i="35"/>
  <c r="C186" i="35"/>
  <c r="C187" i="35"/>
  <c r="C188" i="35"/>
  <c r="C189" i="35"/>
  <c r="C190" i="35"/>
  <c r="C191" i="35"/>
  <c r="C192" i="35"/>
  <c r="C193" i="35"/>
  <c r="C194" i="35"/>
  <c r="C195" i="35"/>
  <c r="C196" i="35"/>
  <c r="C197" i="35"/>
  <c r="C198" i="35"/>
  <c r="C199" i="35"/>
  <c r="C200" i="35"/>
  <c r="C201" i="35"/>
  <c r="C202" i="35"/>
  <c r="C203" i="35"/>
  <c r="C204" i="35"/>
  <c r="C205" i="35"/>
  <c r="C206" i="35"/>
  <c r="C207" i="35"/>
  <c r="C208" i="35"/>
  <c r="C209" i="35"/>
  <c r="C210" i="35"/>
  <c r="C211" i="35"/>
  <c r="C212" i="35"/>
  <c r="C213" i="35"/>
  <c r="C214" i="35"/>
  <c r="C215" i="35"/>
  <c r="C216" i="35"/>
  <c r="C217" i="35"/>
  <c r="C218" i="35"/>
  <c r="C219" i="35"/>
  <c r="C220" i="35"/>
  <c r="C221" i="35"/>
  <c r="C222" i="35"/>
  <c r="C223" i="35"/>
  <c r="C224" i="35"/>
  <c r="C225" i="35"/>
  <c r="C226" i="35"/>
  <c r="C227" i="35"/>
  <c r="C228" i="35"/>
  <c r="C229" i="35"/>
  <c r="C230" i="35"/>
  <c r="C231" i="35"/>
  <c r="C232" i="35"/>
  <c r="C233" i="35"/>
  <c r="C234" i="35"/>
  <c r="C235" i="35"/>
  <c r="C236" i="35"/>
  <c r="C237" i="35"/>
  <c r="C238" i="35"/>
  <c r="C239" i="35"/>
  <c r="C240" i="35"/>
  <c r="C241" i="35"/>
  <c r="C242" i="35"/>
  <c r="C243" i="35"/>
  <c r="C244" i="35"/>
  <c r="C245" i="35"/>
  <c r="C246" i="35"/>
  <c r="C247" i="35"/>
  <c r="C248" i="35"/>
  <c r="C249" i="35"/>
  <c r="C250" i="35"/>
  <c r="C251" i="35"/>
  <c r="C252" i="35"/>
  <c r="C253" i="35"/>
  <c r="C254" i="35"/>
  <c r="C255" i="35"/>
  <c r="C256" i="35"/>
  <c r="C257" i="35"/>
  <c r="C258" i="35"/>
  <c r="C259" i="35"/>
  <c r="C260" i="35"/>
  <c r="C261" i="35"/>
  <c r="C262" i="35"/>
  <c r="C263" i="35"/>
  <c r="C264" i="35"/>
  <c r="C265" i="35"/>
  <c r="C266" i="35"/>
  <c r="C267" i="35"/>
  <c r="C268" i="35"/>
  <c r="C269" i="35"/>
  <c r="C270" i="35"/>
  <c r="C271" i="35"/>
  <c r="C272" i="35"/>
  <c r="C273" i="35"/>
  <c r="C274" i="35"/>
  <c r="C275" i="35"/>
  <c r="C276" i="35"/>
  <c r="C277" i="35"/>
  <c r="C278" i="35"/>
  <c r="C279" i="35"/>
  <c r="C280" i="35"/>
  <c r="C281" i="35"/>
  <c r="C282" i="35"/>
  <c r="C283" i="35"/>
  <c r="C284" i="35"/>
  <c r="C285" i="35"/>
  <c r="C286" i="35"/>
  <c r="C287" i="35"/>
  <c r="C288" i="35"/>
  <c r="C289" i="35"/>
  <c r="C290" i="35"/>
  <c r="C291" i="35"/>
  <c r="C292" i="35"/>
  <c r="C293" i="35"/>
  <c r="C294" i="35"/>
  <c r="C295" i="35"/>
  <c r="C296" i="35"/>
  <c r="C297" i="35"/>
  <c r="C298" i="35"/>
  <c r="C299" i="35"/>
  <c r="C300" i="35"/>
  <c r="C301" i="35"/>
  <c r="C302" i="35"/>
  <c r="C303" i="35"/>
  <c r="C304" i="35"/>
  <c r="C305" i="35"/>
  <c r="C306" i="35"/>
  <c r="C307" i="35"/>
  <c r="C308" i="35"/>
  <c r="C309" i="35"/>
  <c r="C310" i="35"/>
  <c r="C311" i="35"/>
  <c r="C312" i="35"/>
  <c r="C313" i="35"/>
  <c r="C314" i="35"/>
  <c r="C315" i="35"/>
  <c r="C316" i="35"/>
  <c r="C317" i="35"/>
  <c r="C318" i="35"/>
  <c r="C319" i="35"/>
  <c r="C320" i="35"/>
  <c r="C321" i="35"/>
  <c r="C322" i="35"/>
  <c r="C323" i="35"/>
  <c r="C324" i="35"/>
  <c r="C325" i="35"/>
  <c r="C326" i="35"/>
  <c r="C327" i="35"/>
  <c r="C328" i="35"/>
  <c r="C329" i="35"/>
  <c r="C330" i="35"/>
  <c r="C331" i="35"/>
  <c r="C332" i="35"/>
  <c r="C333" i="35"/>
  <c r="C334" i="35"/>
  <c r="C335" i="35"/>
  <c r="C336" i="35"/>
  <c r="C337" i="35"/>
  <c r="C338" i="35"/>
  <c r="C339" i="35"/>
  <c r="C340" i="35"/>
  <c r="C341" i="35"/>
  <c r="C342" i="35"/>
  <c r="C343" i="35"/>
  <c r="C344" i="35"/>
  <c r="C345" i="35"/>
  <c r="C346" i="35"/>
  <c r="C347" i="35"/>
  <c r="C348" i="35"/>
  <c r="C349" i="35"/>
  <c r="C350" i="35"/>
  <c r="C351" i="35"/>
  <c r="C352" i="35"/>
  <c r="C353" i="35"/>
  <c r="C354" i="35"/>
  <c r="C355" i="35"/>
  <c r="C356" i="35"/>
  <c r="C357" i="35"/>
  <c r="C358" i="35"/>
  <c r="C359" i="35"/>
  <c r="C360" i="35"/>
  <c r="C361" i="35"/>
  <c r="C362" i="35"/>
  <c r="C363" i="35"/>
  <c r="C364" i="35"/>
  <c r="C365" i="35"/>
  <c r="C366" i="35"/>
  <c r="C367" i="35"/>
  <c r="C368" i="35"/>
  <c r="C369" i="35"/>
  <c r="C370" i="35"/>
  <c r="C371" i="35"/>
  <c r="C372" i="35"/>
  <c r="C373" i="35"/>
  <c r="C374" i="35"/>
  <c r="C375" i="35"/>
  <c r="C376" i="35"/>
  <c r="C377" i="35"/>
  <c r="C378" i="35"/>
  <c r="C379" i="35"/>
  <c r="C380" i="35"/>
  <c r="C381" i="35"/>
  <c r="C382" i="35"/>
  <c r="C383" i="35"/>
  <c r="C384" i="35"/>
  <c r="C385" i="35"/>
  <c r="C386" i="35"/>
  <c r="C387" i="35"/>
  <c r="C388" i="35"/>
  <c r="C389" i="35"/>
  <c r="C390" i="35"/>
  <c r="C391" i="35"/>
  <c r="C392" i="35"/>
  <c r="C393" i="35"/>
  <c r="C394" i="35"/>
  <c r="C395" i="35"/>
  <c r="C396" i="35"/>
  <c r="C397" i="35"/>
  <c r="C398" i="35"/>
  <c r="C399" i="35"/>
  <c r="C400" i="35"/>
  <c r="C401" i="35"/>
  <c r="C402" i="35"/>
  <c r="C403" i="35"/>
  <c r="C404" i="35"/>
  <c r="C405" i="35"/>
  <c r="C406" i="35"/>
  <c r="C407" i="35"/>
  <c r="C408" i="35"/>
  <c r="C409" i="35"/>
  <c r="C410" i="35"/>
  <c r="C411" i="35"/>
  <c r="C412" i="35"/>
  <c r="C413" i="35"/>
  <c r="C414" i="35"/>
  <c r="C415" i="35"/>
  <c r="C416" i="35"/>
  <c r="C417" i="35"/>
  <c r="C418" i="35"/>
  <c r="C419" i="35"/>
  <c r="C420" i="35"/>
  <c r="C421" i="35"/>
  <c r="C422" i="35"/>
  <c r="C423" i="35"/>
  <c r="C424" i="35"/>
  <c r="C425" i="35"/>
  <c r="C426" i="35"/>
  <c r="C427" i="35"/>
  <c r="C428" i="35"/>
  <c r="C429" i="35"/>
  <c r="C430" i="35"/>
  <c r="C431" i="35"/>
  <c r="C432" i="35"/>
  <c r="C433" i="35"/>
  <c r="C434" i="35"/>
  <c r="C435" i="35"/>
  <c r="C436" i="35"/>
  <c r="C437" i="35"/>
  <c r="C438" i="35"/>
  <c r="C439" i="35"/>
  <c r="C440" i="35"/>
  <c r="C441" i="35"/>
  <c r="C442" i="35"/>
  <c r="C443" i="35"/>
  <c r="C444" i="35"/>
  <c r="C445" i="35"/>
  <c r="C446" i="35"/>
  <c r="C447" i="35"/>
  <c r="C448" i="35"/>
  <c r="C449" i="35"/>
  <c r="C450" i="35"/>
  <c r="C451" i="35"/>
  <c r="C452" i="35"/>
  <c r="C453" i="35"/>
  <c r="C454" i="35"/>
  <c r="C455" i="35"/>
  <c r="C456" i="35"/>
  <c r="C457" i="35"/>
  <c r="C458" i="35"/>
  <c r="C459" i="35"/>
  <c r="C460" i="35"/>
  <c r="C461" i="35"/>
  <c r="C462" i="35"/>
  <c r="C463" i="35"/>
  <c r="C464" i="35"/>
  <c r="C465" i="35"/>
  <c r="C466" i="35"/>
  <c r="C467" i="35"/>
  <c r="C468" i="35"/>
  <c r="C469" i="35"/>
  <c r="C470" i="35"/>
  <c r="C471" i="35"/>
  <c r="C472" i="35"/>
  <c r="C473" i="35"/>
  <c r="C474" i="35"/>
  <c r="C475" i="35"/>
  <c r="C476" i="35"/>
  <c r="C477" i="35"/>
  <c r="C478" i="35"/>
  <c r="C479" i="35"/>
  <c r="C480" i="35"/>
  <c r="C481" i="35"/>
  <c r="C482" i="35"/>
  <c r="C483" i="35"/>
  <c r="C484" i="35"/>
  <c r="C485" i="35"/>
  <c r="C486" i="35"/>
  <c r="C487" i="35"/>
  <c r="C488" i="35"/>
  <c r="C489" i="35"/>
  <c r="C490" i="35"/>
  <c r="C491" i="35"/>
  <c r="C492" i="35"/>
  <c r="C493" i="35"/>
  <c r="C494" i="35"/>
  <c r="C495" i="35"/>
  <c r="C496" i="35"/>
  <c r="C497" i="35"/>
  <c r="C498" i="35"/>
  <c r="C499" i="35"/>
  <c r="C500" i="35"/>
  <c r="C501" i="35"/>
  <c r="C502" i="35"/>
  <c r="C503" i="35"/>
  <c r="C504" i="35"/>
  <c r="C505" i="35"/>
  <c r="C506" i="35"/>
  <c r="C507" i="35"/>
  <c r="C508" i="35"/>
  <c r="C509" i="35"/>
  <c r="C510" i="35"/>
  <c r="C511" i="35"/>
  <c r="C512" i="35"/>
  <c r="C513" i="35"/>
  <c r="C514" i="35"/>
  <c r="C515" i="35"/>
  <c r="C516" i="35"/>
  <c r="C517" i="35"/>
  <c r="C518" i="35"/>
  <c r="C519" i="35"/>
  <c r="C520" i="35"/>
  <c r="C521" i="35"/>
  <c r="C522" i="35"/>
  <c r="C523" i="35"/>
  <c r="C524" i="35"/>
  <c r="C525" i="35"/>
  <c r="C526" i="35"/>
  <c r="C527" i="35"/>
  <c r="C528" i="35"/>
  <c r="C529" i="35"/>
  <c r="C530" i="35"/>
  <c r="C531" i="35"/>
  <c r="C532" i="35"/>
  <c r="C533" i="35"/>
  <c r="C534" i="35"/>
  <c r="C535" i="35"/>
  <c r="C536" i="35"/>
  <c r="C537" i="35"/>
  <c r="C538" i="35"/>
  <c r="C539" i="35"/>
  <c r="C540" i="35"/>
  <c r="C541" i="35"/>
  <c r="C542" i="35"/>
  <c r="C543" i="35"/>
  <c r="C544" i="35"/>
  <c r="C545" i="35"/>
  <c r="C546" i="35"/>
  <c r="C547" i="35"/>
  <c r="C548" i="35"/>
  <c r="C549" i="35"/>
  <c r="C550" i="35"/>
  <c r="C551" i="35"/>
  <c r="C552" i="35"/>
  <c r="C553" i="35"/>
  <c r="C554" i="35"/>
  <c r="C555" i="35"/>
  <c r="C556" i="35"/>
  <c r="C557" i="35"/>
  <c r="C558" i="35"/>
  <c r="C559" i="35"/>
  <c r="C560" i="35"/>
  <c r="C561" i="35"/>
  <c r="C562" i="35"/>
  <c r="C563" i="35"/>
  <c r="C564" i="35"/>
  <c r="C565" i="35"/>
  <c r="C566" i="35"/>
  <c r="C567" i="35"/>
  <c r="C568" i="35"/>
  <c r="C569" i="35"/>
  <c r="C570" i="35"/>
  <c r="C571" i="35"/>
  <c r="C572" i="35"/>
  <c r="C573" i="35"/>
  <c r="C574" i="35"/>
  <c r="C575" i="35"/>
  <c r="C576" i="35"/>
  <c r="C577" i="35"/>
  <c r="C578" i="35"/>
  <c r="C579" i="35"/>
  <c r="C580" i="35"/>
  <c r="C581" i="35"/>
  <c r="C582" i="35"/>
  <c r="C583" i="35"/>
  <c r="C584" i="35"/>
  <c r="C585" i="35"/>
  <c r="C586" i="35"/>
  <c r="C587" i="35"/>
  <c r="C588" i="35"/>
  <c r="C589" i="35"/>
  <c r="C590" i="35"/>
  <c r="C591" i="35"/>
  <c r="C592" i="35"/>
  <c r="C593" i="35"/>
  <c r="C594" i="35"/>
  <c r="C595" i="35"/>
  <c r="C596" i="35"/>
  <c r="C597" i="35"/>
  <c r="C598" i="35"/>
  <c r="C599" i="35"/>
  <c r="C600" i="35"/>
  <c r="C601" i="35"/>
  <c r="C602" i="35"/>
  <c r="C603" i="35"/>
  <c r="C604" i="35"/>
  <c r="C605" i="35"/>
  <c r="C606" i="35"/>
  <c r="C607" i="35"/>
  <c r="C608" i="35"/>
  <c r="C609" i="35"/>
  <c r="C610" i="35"/>
  <c r="C611" i="35"/>
  <c r="C612" i="35"/>
  <c r="C613" i="35"/>
  <c r="C614" i="35"/>
  <c r="C615" i="35"/>
  <c r="C616" i="35"/>
  <c r="C617" i="35"/>
  <c r="C618" i="35"/>
  <c r="C619" i="35"/>
  <c r="C620" i="35"/>
  <c r="C621" i="35"/>
  <c r="C622" i="35"/>
  <c r="C623" i="35"/>
  <c r="C624" i="35"/>
  <c r="C625" i="35"/>
  <c r="C626" i="35"/>
  <c r="C627" i="35"/>
  <c r="C628" i="35"/>
  <c r="C629" i="35"/>
  <c r="C630" i="35"/>
  <c r="C631" i="35"/>
  <c r="C632" i="35"/>
  <c r="C633" i="35"/>
  <c r="C634" i="35"/>
  <c r="C635" i="35"/>
  <c r="C636" i="35"/>
  <c r="C637" i="35"/>
  <c r="C638" i="35"/>
  <c r="C639" i="35"/>
  <c r="C640" i="35"/>
  <c r="C641" i="35"/>
  <c r="C642" i="35"/>
  <c r="C643" i="35"/>
  <c r="C644" i="35"/>
  <c r="C645" i="35"/>
  <c r="C646" i="35"/>
  <c r="C647" i="35"/>
  <c r="C648" i="35"/>
  <c r="C649" i="35"/>
  <c r="C650" i="35"/>
  <c r="C651" i="35"/>
  <c r="C652" i="35"/>
  <c r="C653" i="35"/>
  <c r="C654" i="35"/>
  <c r="C655" i="35"/>
  <c r="C656" i="35"/>
  <c r="C657" i="35"/>
  <c r="C658" i="35"/>
  <c r="C659" i="35"/>
  <c r="C660" i="35"/>
  <c r="C661" i="35"/>
  <c r="C662" i="35"/>
  <c r="C663" i="35"/>
  <c r="C664" i="35"/>
  <c r="C665" i="35"/>
  <c r="C666" i="35"/>
  <c r="C667" i="35"/>
  <c r="C668" i="35"/>
  <c r="C669" i="35"/>
  <c r="C670" i="35"/>
  <c r="C671" i="35"/>
  <c r="C672" i="35"/>
  <c r="C673" i="35"/>
  <c r="C674" i="35"/>
  <c r="C675" i="35"/>
  <c r="C676" i="35"/>
  <c r="C677" i="35"/>
  <c r="C678" i="35"/>
  <c r="C679" i="35"/>
  <c r="C680" i="35"/>
  <c r="C681" i="35"/>
  <c r="C682" i="35"/>
  <c r="C683" i="35"/>
  <c r="C684" i="35"/>
  <c r="C685" i="35"/>
  <c r="C686" i="35"/>
  <c r="C687" i="35"/>
  <c r="C688" i="35"/>
  <c r="C689" i="35"/>
  <c r="C690" i="35"/>
  <c r="C691" i="35"/>
  <c r="C692" i="35"/>
  <c r="C693" i="35"/>
  <c r="C694" i="35"/>
  <c r="C695" i="35"/>
  <c r="C696" i="35"/>
  <c r="C697" i="35"/>
  <c r="C698" i="35"/>
  <c r="C699" i="35"/>
  <c r="C700" i="35"/>
  <c r="C701" i="35"/>
  <c r="C702" i="35"/>
  <c r="C703" i="35"/>
  <c r="C704" i="35"/>
  <c r="C705" i="35"/>
  <c r="C706" i="35"/>
  <c r="C707" i="35"/>
  <c r="C708" i="35"/>
  <c r="C709" i="35"/>
  <c r="C710" i="35"/>
  <c r="C711" i="35"/>
  <c r="C712" i="35"/>
  <c r="C713" i="35"/>
  <c r="C714" i="35"/>
  <c r="C715" i="35"/>
  <c r="C716" i="35"/>
  <c r="C717" i="35"/>
  <c r="C718" i="35"/>
  <c r="C719" i="35"/>
  <c r="C720" i="35"/>
  <c r="C721" i="35"/>
  <c r="C722" i="35"/>
  <c r="C723" i="35"/>
  <c r="C724" i="35"/>
  <c r="C725" i="35"/>
  <c r="C726" i="35"/>
  <c r="C727" i="35"/>
  <c r="C728" i="35"/>
  <c r="C729" i="35"/>
  <c r="C730" i="35"/>
  <c r="C731" i="35"/>
  <c r="C732" i="35"/>
  <c r="C733" i="35"/>
  <c r="C734" i="35"/>
  <c r="C735" i="35"/>
  <c r="C736" i="35"/>
  <c r="C737" i="35"/>
  <c r="C738" i="35"/>
  <c r="C739" i="35"/>
  <c r="C740" i="35"/>
  <c r="C741" i="35"/>
  <c r="C742" i="35"/>
  <c r="C743" i="35"/>
  <c r="C744" i="35"/>
  <c r="C745" i="35"/>
  <c r="C746" i="35"/>
  <c r="C747" i="35"/>
  <c r="C748" i="35"/>
  <c r="C749" i="35"/>
  <c r="C750" i="35"/>
  <c r="C751" i="35"/>
  <c r="C752" i="35"/>
  <c r="C753" i="35"/>
  <c r="C754" i="35"/>
  <c r="C755" i="35"/>
  <c r="C756" i="35"/>
  <c r="C757" i="35"/>
  <c r="C758" i="35"/>
  <c r="C759" i="35"/>
  <c r="C760" i="35"/>
  <c r="C761" i="35"/>
  <c r="C762" i="35"/>
  <c r="C763" i="35"/>
  <c r="C764" i="35"/>
  <c r="C765" i="35"/>
  <c r="C766" i="35"/>
  <c r="C767" i="35"/>
  <c r="C768" i="35"/>
  <c r="C769" i="35"/>
  <c r="C770" i="35"/>
  <c r="C771" i="35"/>
  <c r="C772" i="35"/>
  <c r="C773" i="35"/>
  <c r="C774" i="35"/>
  <c r="C775" i="35"/>
  <c r="C776" i="35"/>
  <c r="C777" i="35"/>
  <c r="C778" i="35"/>
  <c r="C779" i="35"/>
  <c r="C780" i="35"/>
  <c r="C781" i="35"/>
  <c r="C782" i="35"/>
  <c r="C783" i="35"/>
  <c r="C784" i="35"/>
  <c r="C785" i="35"/>
  <c r="C786" i="35"/>
  <c r="C787" i="35"/>
  <c r="C788" i="35"/>
  <c r="C789" i="35"/>
  <c r="C790" i="35"/>
  <c r="C791" i="35"/>
  <c r="C792" i="35"/>
  <c r="C793" i="35"/>
  <c r="C794" i="35"/>
  <c r="C795" i="35"/>
  <c r="C796" i="35"/>
  <c r="C797" i="35"/>
  <c r="C798" i="35"/>
  <c r="C799" i="35"/>
  <c r="C800" i="35"/>
  <c r="C801" i="35"/>
  <c r="C802" i="35"/>
  <c r="C803" i="35"/>
  <c r="C804" i="35"/>
  <c r="C805" i="35"/>
  <c r="C806" i="35"/>
  <c r="C807" i="35"/>
  <c r="C808" i="35"/>
  <c r="C809" i="35"/>
  <c r="C810" i="35"/>
  <c r="C811" i="35"/>
  <c r="C812" i="35"/>
  <c r="C813" i="35"/>
  <c r="C814" i="35"/>
  <c r="C815" i="35"/>
  <c r="C816" i="35"/>
  <c r="C817" i="35"/>
  <c r="C818" i="35"/>
  <c r="C819" i="35"/>
  <c r="C820" i="35"/>
  <c r="C821" i="35"/>
  <c r="C822" i="35"/>
  <c r="C823" i="35"/>
  <c r="C824" i="35"/>
  <c r="C825" i="35"/>
  <c r="C826" i="35"/>
  <c r="C827" i="35"/>
  <c r="C828" i="35"/>
  <c r="C829" i="35"/>
  <c r="C830" i="35"/>
  <c r="C831" i="35"/>
  <c r="C832" i="35"/>
  <c r="C833" i="35"/>
  <c r="C834" i="35"/>
  <c r="C835" i="35"/>
  <c r="C836" i="35"/>
  <c r="C837" i="35"/>
  <c r="C838" i="35"/>
  <c r="C839" i="35"/>
  <c r="C840" i="35"/>
  <c r="C841" i="35"/>
  <c r="C842" i="35"/>
  <c r="C843" i="35"/>
  <c r="C844" i="35"/>
  <c r="C845" i="35"/>
  <c r="C846" i="35"/>
  <c r="C847" i="35"/>
  <c r="C848" i="35"/>
  <c r="C849" i="35"/>
  <c r="C850" i="35"/>
  <c r="C851" i="35"/>
  <c r="C852" i="35"/>
  <c r="C853" i="35"/>
  <c r="C854" i="35"/>
  <c r="C855" i="35"/>
  <c r="C856" i="35"/>
  <c r="C857" i="35"/>
  <c r="C858" i="35"/>
  <c r="C859" i="35"/>
  <c r="C860" i="35"/>
  <c r="C861" i="35"/>
  <c r="C862" i="35"/>
  <c r="C863" i="35"/>
  <c r="C864" i="35"/>
  <c r="C865" i="35"/>
  <c r="C866" i="35"/>
  <c r="C867" i="35"/>
  <c r="C868" i="35"/>
  <c r="C869" i="35"/>
  <c r="C870" i="35"/>
  <c r="C871" i="35"/>
  <c r="C872" i="35"/>
  <c r="C873" i="35"/>
  <c r="C874" i="35"/>
  <c r="C875" i="35"/>
  <c r="C876" i="35"/>
  <c r="C877" i="35"/>
  <c r="C878" i="35"/>
  <c r="C879" i="35"/>
  <c r="C880" i="35"/>
  <c r="C881" i="35"/>
  <c r="C882" i="35"/>
  <c r="C883" i="35"/>
  <c r="C884" i="35"/>
  <c r="C885" i="35"/>
  <c r="C886" i="35"/>
  <c r="C887" i="35"/>
  <c r="C888" i="35"/>
  <c r="C889" i="35"/>
  <c r="C890" i="35"/>
  <c r="C891" i="35"/>
  <c r="C892" i="35"/>
  <c r="C893" i="35"/>
  <c r="C894" i="35"/>
  <c r="C895" i="35"/>
  <c r="C896" i="35"/>
  <c r="C897" i="35"/>
  <c r="C898" i="35"/>
  <c r="C899" i="35"/>
  <c r="C900" i="35"/>
  <c r="C901" i="35"/>
  <c r="C902" i="35"/>
  <c r="C903" i="35"/>
  <c r="C904" i="35"/>
  <c r="C905" i="35"/>
  <c r="C906" i="35"/>
  <c r="C907" i="35"/>
  <c r="C908" i="35"/>
  <c r="C909" i="35"/>
  <c r="C910" i="35"/>
  <c r="C911" i="35"/>
  <c r="C912" i="35"/>
  <c r="C913" i="35"/>
  <c r="C914" i="35"/>
  <c r="C915" i="35"/>
  <c r="C916" i="35"/>
  <c r="C917" i="35"/>
  <c r="C918" i="35"/>
  <c r="C919" i="35"/>
  <c r="C920" i="35"/>
  <c r="C921" i="35"/>
  <c r="C922" i="35"/>
  <c r="C923" i="35"/>
  <c r="C924" i="35"/>
  <c r="C925" i="35"/>
  <c r="C926" i="35"/>
  <c r="C927" i="35"/>
  <c r="C928" i="35"/>
  <c r="C929" i="35"/>
  <c r="C930" i="35"/>
  <c r="C931" i="35"/>
  <c r="C932" i="35"/>
  <c r="C933" i="35"/>
  <c r="C934" i="35"/>
  <c r="C935" i="35"/>
  <c r="C936" i="35"/>
  <c r="C937" i="35"/>
  <c r="C938" i="35"/>
  <c r="C939" i="35"/>
  <c r="C940" i="35"/>
  <c r="C941" i="35"/>
  <c r="C942" i="35"/>
  <c r="C943" i="35"/>
  <c r="C944" i="35"/>
  <c r="C945" i="35"/>
  <c r="C946" i="35"/>
  <c r="C947" i="35"/>
  <c r="C948" i="35"/>
  <c r="C949" i="35"/>
  <c r="C950" i="35"/>
  <c r="C951" i="35"/>
  <c r="C952" i="35"/>
  <c r="C953" i="35"/>
  <c r="C954" i="35"/>
  <c r="C955" i="35"/>
  <c r="C956" i="35"/>
  <c r="C957" i="35"/>
  <c r="C958" i="35"/>
  <c r="C959" i="35"/>
  <c r="C960" i="35"/>
  <c r="C961" i="35"/>
  <c r="C962" i="35"/>
  <c r="C963" i="35"/>
  <c r="C964" i="35"/>
  <c r="C965" i="35"/>
  <c r="C966" i="35"/>
  <c r="C967" i="35"/>
  <c r="C968" i="35"/>
  <c r="C969" i="35"/>
  <c r="C970" i="35"/>
  <c r="C971" i="35"/>
  <c r="C972" i="35"/>
  <c r="C973" i="35"/>
  <c r="C974" i="35"/>
  <c r="C975" i="35"/>
  <c r="C976" i="35"/>
  <c r="C977" i="35"/>
  <c r="C978" i="35"/>
  <c r="C979" i="35"/>
  <c r="C980" i="35"/>
  <c r="C981" i="35"/>
  <c r="C982" i="35"/>
  <c r="C983" i="35"/>
  <c r="C984" i="35"/>
  <c r="C985" i="35"/>
  <c r="C986" i="35"/>
  <c r="C987" i="35"/>
  <c r="C988" i="35"/>
  <c r="C989" i="35"/>
  <c r="C990" i="35"/>
  <c r="C991" i="35"/>
  <c r="C992" i="35"/>
  <c r="C993" i="35"/>
  <c r="C994" i="35"/>
  <c r="C995" i="35"/>
  <c r="C996" i="35"/>
  <c r="C997" i="35"/>
  <c r="C998" i="35"/>
  <c r="C999" i="35"/>
  <c r="C1000" i="35"/>
  <c r="C1001" i="35"/>
  <c r="C1002" i="35"/>
  <c r="C1003" i="35"/>
  <c r="C1004" i="35"/>
  <c r="C1005" i="35"/>
  <c r="C1006" i="35"/>
  <c r="C1007" i="35"/>
  <c r="C1008" i="35"/>
  <c r="C1009" i="35"/>
  <c r="C1010" i="35"/>
  <c r="C1011" i="35"/>
  <c r="C1012" i="35"/>
  <c r="C1013" i="35"/>
  <c r="C1014" i="35"/>
  <c r="C1015" i="35"/>
  <c r="C1016" i="35"/>
  <c r="C1017" i="35"/>
  <c r="C1018" i="35"/>
  <c r="C1019" i="35"/>
  <c r="C1020" i="35"/>
  <c r="C1021" i="35"/>
  <c r="C1022" i="35"/>
  <c r="C1023" i="35"/>
  <c r="C1024" i="35"/>
  <c r="C1025" i="35"/>
  <c r="C1026" i="35"/>
  <c r="C1027" i="35"/>
  <c r="C1028" i="35"/>
  <c r="C1029" i="35"/>
  <c r="C1030" i="35"/>
  <c r="C1031" i="35"/>
  <c r="C1032" i="35"/>
  <c r="C1033" i="35"/>
  <c r="C1034" i="35"/>
  <c r="C1035" i="35"/>
  <c r="C1036" i="35"/>
  <c r="C1037" i="35"/>
  <c r="C1038" i="35"/>
  <c r="C1039" i="35"/>
  <c r="C1040" i="35"/>
  <c r="C1041" i="35"/>
  <c r="C1042" i="35"/>
  <c r="C1043" i="35"/>
  <c r="C1044" i="35"/>
  <c r="C1045" i="35"/>
  <c r="C1046" i="35"/>
  <c r="C1047" i="35"/>
  <c r="C1048" i="35"/>
  <c r="C1049" i="35"/>
  <c r="C1050" i="35"/>
  <c r="C1051" i="35"/>
  <c r="C1052" i="35"/>
  <c r="C1053" i="35"/>
  <c r="C1054" i="35"/>
  <c r="C1055" i="35"/>
  <c r="C1056" i="35"/>
  <c r="C1057" i="35"/>
  <c r="C1058" i="35"/>
  <c r="C1059" i="35"/>
  <c r="C1060" i="35"/>
  <c r="C1061" i="35"/>
  <c r="C1062" i="35"/>
  <c r="C1063" i="35"/>
  <c r="C1064" i="35"/>
  <c r="C1065" i="35"/>
  <c r="C1066" i="35"/>
  <c r="C1067" i="35"/>
  <c r="C1068" i="35"/>
  <c r="C1069" i="35"/>
  <c r="C1070" i="35"/>
  <c r="C1071" i="35"/>
  <c r="C1072" i="35"/>
  <c r="C1073" i="35"/>
  <c r="C1074" i="35"/>
  <c r="C1075" i="35"/>
  <c r="C1076" i="35"/>
  <c r="C1077" i="35"/>
  <c r="C1078" i="35"/>
  <c r="C1079" i="35"/>
  <c r="C1080" i="35"/>
  <c r="C1081" i="35"/>
  <c r="C1082" i="35"/>
  <c r="C1083" i="35"/>
  <c r="C1084" i="35"/>
  <c r="C1085" i="35"/>
  <c r="C1086" i="35"/>
  <c r="C1087" i="35"/>
  <c r="C1088" i="35"/>
  <c r="C1089" i="35"/>
  <c r="C1090" i="35"/>
  <c r="C1091" i="35"/>
  <c r="C1092" i="35"/>
  <c r="C1093" i="35"/>
  <c r="C1094" i="35"/>
  <c r="C1095" i="35"/>
  <c r="C1096" i="35"/>
  <c r="C1097" i="35"/>
  <c r="C1098" i="35"/>
  <c r="C1099" i="35"/>
  <c r="C1100" i="35"/>
  <c r="C1101" i="35"/>
  <c r="C1102" i="35"/>
  <c r="C1103" i="35"/>
  <c r="C1104" i="35"/>
  <c r="C1105" i="35"/>
  <c r="C1106" i="35"/>
  <c r="C1107" i="35"/>
  <c r="C1108" i="35"/>
  <c r="C1109" i="35"/>
  <c r="C1110" i="35"/>
  <c r="C1111" i="35"/>
  <c r="C1112" i="35"/>
  <c r="C1113" i="35"/>
  <c r="C1114" i="35"/>
  <c r="C1115" i="35"/>
  <c r="C1116" i="35"/>
  <c r="C1117" i="35"/>
  <c r="C1118" i="35"/>
  <c r="C1119" i="35"/>
  <c r="C1120" i="35"/>
  <c r="C1121" i="35"/>
  <c r="C1122" i="35"/>
  <c r="C1123" i="35"/>
  <c r="C1124" i="35"/>
  <c r="C1125" i="35"/>
  <c r="C1126" i="35"/>
  <c r="C1127" i="35"/>
  <c r="C1128" i="35"/>
  <c r="C1129" i="35"/>
  <c r="C1130" i="35"/>
  <c r="C1131" i="35"/>
  <c r="C1132" i="35"/>
  <c r="C1133" i="35"/>
  <c r="C1134" i="35"/>
  <c r="C1135" i="35"/>
  <c r="C1136" i="35"/>
  <c r="C1137" i="35"/>
  <c r="C1138" i="35"/>
  <c r="C1139" i="35"/>
  <c r="C1140" i="35"/>
  <c r="C1141" i="35"/>
  <c r="C1142" i="35"/>
  <c r="C1143" i="35"/>
  <c r="C1144" i="35"/>
  <c r="C1145" i="35"/>
  <c r="C1146" i="35"/>
  <c r="C1147" i="35"/>
  <c r="C1148" i="35"/>
  <c r="C1149" i="35"/>
  <c r="C1150" i="35"/>
  <c r="C1151" i="35"/>
  <c r="C1152" i="35"/>
  <c r="C1153" i="35"/>
  <c r="C1154" i="35"/>
  <c r="C1155" i="35"/>
  <c r="C1156" i="35"/>
  <c r="C1157" i="35"/>
  <c r="C1158" i="35"/>
  <c r="C1159" i="35"/>
  <c r="C1160" i="35"/>
  <c r="C1161" i="35"/>
  <c r="C1162" i="35"/>
  <c r="C1163" i="35"/>
  <c r="C1164" i="35"/>
  <c r="C1165" i="35"/>
  <c r="C1166" i="35"/>
  <c r="C1167" i="35"/>
  <c r="C1168" i="35"/>
  <c r="C1169" i="35"/>
  <c r="C1170" i="35"/>
  <c r="C1171" i="35"/>
  <c r="C1172" i="35"/>
  <c r="C1173" i="35"/>
  <c r="C1174" i="35"/>
  <c r="C1175" i="35"/>
  <c r="C1176" i="35"/>
  <c r="C1177" i="35"/>
  <c r="C1178" i="35"/>
  <c r="C1179" i="35"/>
  <c r="C1180" i="35"/>
  <c r="C1181" i="35"/>
  <c r="C1182" i="35"/>
  <c r="C1183" i="35"/>
  <c r="C1184" i="35"/>
  <c r="C1185" i="35"/>
  <c r="C1186" i="35"/>
  <c r="C1187" i="35"/>
  <c r="C1188" i="35"/>
  <c r="C1189" i="35"/>
  <c r="C1190" i="35"/>
  <c r="C1191" i="35"/>
  <c r="C1192" i="35"/>
  <c r="C1193" i="35"/>
  <c r="C1194" i="35"/>
  <c r="C1195" i="35"/>
  <c r="C1196" i="35"/>
  <c r="C1197" i="35"/>
  <c r="C1198" i="35"/>
  <c r="C1199" i="35"/>
  <c r="C1200" i="35"/>
  <c r="C1201" i="35"/>
  <c r="C1202" i="35"/>
  <c r="C1203" i="35"/>
  <c r="C1204" i="35"/>
  <c r="C1205" i="35"/>
  <c r="C1206" i="35"/>
  <c r="C1207" i="35"/>
  <c r="C1208" i="35"/>
  <c r="C1209" i="35"/>
  <c r="C1210" i="35"/>
  <c r="C1211" i="35"/>
  <c r="C1212" i="35"/>
  <c r="C1213" i="35"/>
  <c r="C1214" i="35"/>
  <c r="C1215" i="35"/>
  <c r="C1216" i="35"/>
  <c r="C1217" i="35"/>
  <c r="C1218" i="35"/>
  <c r="C1219" i="35"/>
  <c r="C1220" i="35"/>
  <c r="C1221" i="35"/>
  <c r="C1222" i="35"/>
  <c r="C1223" i="35"/>
  <c r="C1224" i="35"/>
  <c r="C1225" i="35"/>
  <c r="C1226" i="35"/>
  <c r="C1227" i="35"/>
  <c r="C1228" i="35"/>
  <c r="C1229" i="35"/>
  <c r="C1230" i="35"/>
  <c r="C1231" i="35"/>
  <c r="C1232" i="35"/>
  <c r="C1233" i="35"/>
  <c r="C1234" i="35"/>
  <c r="C1235" i="35"/>
  <c r="C1236" i="35"/>
  <c r="C1237" i="35"/>
  <c r="C1238" i="35"/>
  <c r="C1239" i="35"/>
  <c r="C1240" i="35"/>
  <c r="C1241" i="35"/>
  <c r="C1242" i="35"/>
  <c r="C1243" i="35"/>
  <c r="J6" i="35" l="1"/>
  <c r="B14" i="36" s="1"/>
  <c r="B16" i="36" s="1"/>
  <c r="C22" i="36" s="1"/>
  <c r="J14" i="35"/>
  <c r="J13" i="35"/>
  <c r="F37" i="30"/>
  <c r="C34" i="30"/>
  <c r="D34" i="30"/>
  <c r="E34" i="30"/>
  <c r="B12" i="37"/>
  <c r="K21" i="37" s="1"/>
  <c r="G58" i="33"/>
  <c r="H58" i="33" s="1"/>
  <c r="I58" i="33" s="1"/>
  <c r="J58" i="33" s="1"/>
  <c r="K58" i="33" s="1"/>
  <c r="C44" i="30"/>
  <c r="D44" i="30"/>
  <c r="E44" i="30"/>
  <c r="B44" i="30"/>
  <c r="B34" i="30"/>
  <c r="B37" i="30"/>
  <c r="G51" i="33"/>
  <c r="H51" i="33" s="1"/>
  <c r="I51" i="33" s="1"/>
  <c r="J51" i="33" s="1"/>
  <c r="K51" i="33" s="1"/>
  <c r="H52" i="33"/>
  <c r="I52" i="33" s="1"/>
  <c r="J52" i="33" s="1"/>
  <c r="K52" i="33" s="1"/>
  <c r="G53" i="33"/>
  <c r="H53" i="33" s="1"/>
  <c r="I53" i="33" s="1"/>
  <c r="J53" i="33" s="1"/>
  <c r="K53" i="33" s="1"/>
  <c r="G42" i="33"/>
  <c r="C41" i="30"/>
  <c r="D41" i="30"/>
  <c r="E41" i="30"/>
  <c r="F41" i="30"/>
  <c r="G44" i="33"/>
  <c r="H44" i="33" s="1"/>
  <c r="I44" i="33" s="1"/>
  <c r="J44" i="33" s="1"/>
  <c r="K44" i="33" s="1"/>
  <c r="B41" i="30"/>
  <c r="C25" i="33"/>
  <c r="D25" i="33"/>
  <c r="B10" i="37"/>
  <c r="K23" i="37" s="1"/>
  <c r="B25" i="33"/>
  <c r="C26" i="30"/>
  <c r="D26" i="30"/>
  <c r="E26" i="30"/>
  <c r="F26" i="30"/>
  <c r="B26" i="30"/>
  <c r="G1" i="34"/>
  <c r="I19" i="33"/>
  <c r="J19" i="33"/>
  <c r="K19" i="33"/>
  <c r="G50" i="33"/>
  <c r="H50" i="33" s="1"/>
  <c r="I50" i="33" s="1"/>
  <c r="J50" i="33" s="1"/>
  <c r="K50" i="33" s="1"/>
  <c r="C20" i="30"/>
  <c r="D20" i="30"/>
  <c r="E20" i="30"/>
  <c r="B20" i="30"/>
  <c r="E8" i="34"/>
  <c r="B8" i="34"/>
  <c r="C17" i="30"/>
  <c r="D17" i="30"/>
  <c r="E17" i="30"/>
  <c r="F17" i="30"/>
  <c r="C23" i="30"/>
  <c r="D23" i="30"/>
  <c r="E23" i="30"/>
  <c r="F23" i="30"/>
  <c r="B23" i="30"/>
  <c r="B17" i="30"/>
  <c r="C11" i="30"/>
  <c r="D11" i="30"/>
  <c r="E11" i="30"/>
  <c r="F11" i="30"/>
  <c r="B11" i="30"/>
  <c r="C8" i="30"/>
  <c r="D8" i="30"/>
  <c r="B8" i="30"/>
  <c r="B5" i="34" l="1"/>
  <c r="B9" i="34" s="1"/>
  <c r="E6" i="34"/>
  <c r="E9" i="34"/>
  <c r="B21" i="30"/>
  <c r="B18" i="30"/>
  <c r="K9" i="42"/>
  <c r="D22" i="40"/>
  <c r="C16" i="39"/>
  <c r="C22" i="40"/>
  <c r="E25" i="33"/>
  <c r="C26" i="40"/>
  <c r="D32" i="40"/>
  <c r="D33" i="40"/>
  <c r="C32" i="40"/>
  <c r="C12" i="39"/>
  <c r="D26" i="40"/>
  <c r="C33" i="40"/>
  <c r="B4" i="36"/>
  <c r="F25" i="33"/>
  <c r="K26" i="37"/>
  <c r="F20" i="30"/>
  <c r="G35" i="33"/>
  <c r="H35" i="33" s="1"/>
  <c r="E37" i="30"/>
  <c r="D37" i="30"/>
  <c r="C37" i="30"/>
  <c r="B14" i="30"/>
  <c r="C14" i="30"/>
  <c r="E14" i="30"/>
  <c r="F14" i="30"/>
  <c r="F38" i="30" s="1"/>
  <c r="D29" i="40" s="1"/>
  <c r="D14" i="30"/>
  <c r="E8" i="30"/>
  <c r="E9" i="30" s="1"/>
  <c r="H42" i="33"/>
  <c r="B42" i="30"/>
  <c r="F8" i="30"/>
  <c r="F42" i="30" s="1"/>
  <c r="D8" i="34"/>
  <c r="F34" i="30"/>
  <c r="C8" i="34"/>
  <c r="F44" i="30"/>
  <c r="D24" i="30"/>
  <c r="C42" i="30"/>
  <c r="C12" i="30"/>
  <c r="C18" i="30"/>
  <c r="C45" i="30"/>
  <c r="C9" i="33"/>
  <c r="C4" i="34" s="1"/>
  <c r="E9" i="33"/>
  <c r="F9" i="33"/>
  <c r="F4" i="34" s="1"/>
  <c r="F7" i="34" s="1"/>
  <c r="B9" i="33"/>
  <c r="B4" i="34" s="1"/>
  <c r="D9" i="33"/>
  <c r="D4" i="34" s="1"/>
  <c r="D35" i="30"/>
  <c r="D42" i="30"/>
  <c r="C24" i="30"/>
  <c r="C21" i="30"/>
  <c r="B35" i="30"/>
  <c r="B24" i="30"/>
  <c r="B12" i="30"/>
  <c r="B45" i="30"/>
  <c r="C9" i="30"/>
  <c r="D45" i="30"/>
  <c r="D12" i="30"/>
  <c r="D18" i="30"/>
  <c r="C35" i="30"/>
  <c r="D9" i="30"/>
  <c r="D21" i="30"/>
  <c r="D6" i="34" l="1"/>
  <c r="D7" i="34" s="1"/>
  <c r="C6" i="34"/>
  <c r="C7" i="34" s="1"/>
  <c r="C31" i="40"/>
  <c r="E4" i="34"/>
  <c r="E7" i="34" s="1"/>
  <c r="K27" i="37"/>
  <c r="D9" i="42"/>
  <c r="D31" i="40"/>
  <c r="K11" i="42"/>
  <c r="K10" i="42"/>
  <c r="G40" i="33"/>
  <c r="B8" i="36"/>
  <c r="B11" i="37"/>
  <c r="K20" i="37" s="1"/>
  <c r="B5" i="36"/>
  <c r="B7" i="36" s="1"/>
  <c r="B22" i="36" s="1"/>
  <c r="D22" i="36" s="1"/>
  <c r="I35" i="33"/>
  <c r="H40" i="33"/>
  <c r="C38" i="30"/>
  <c r="C63" i="33"/>
  <c r="D63" i="33"/>
  <c r="E38" i="30"/>
  <c r="C29" i="40" s="1"/>
  <c r="F24" i="30"/>
  <c r="B15" i="30"/>
  <c r="E24" i="30"/>
  <c r="E21" i="30"/>
  <c r="F9" i="30"/>
  <c r="K3" i="30" s="1"/>
  <c r="K2" i="30" s="1"/>
  <c r="E15" i="30"/>
  <c r="F45" i="30"/>
  <c r="F12" i="30"/>
  <c r="E35" i="30"/>
  <c r="C30" i="40" s="1"/>
  <c r="E18" i="30"/>
  <c r="D15" i="30"/>
  <c r="D38" i="30"/>
  <c r="E45" i="30"/>
  <c r="E12" i="30"/>
  <c r="E42" i="30"/>
  <c r="G42" i="30" s="1"/>
  <c r="F15" i="30"/>
  <c r="F18" i="30"/>
  <c r="C15" i="30"/>
  <c r="F21" i="30"/>
  <c r="B38" i="30"/>
  <c r="F35" i="30"/>
  <c r="D30" i="40" s="1"/>
  <c r="I42" i="33"/>
  <c r="E11" i="33"/>
  <c r="E14" i="33" s="1"/>
  <c r="C11" i="33"/>
  <c r="C14" i="33" s="1"/>
  <c r="C16" i="33" s="1"/>
  <c r="C18" i="33" s="1"/>
  <c r="F11" i="33"/>
  <c r="F14" i="33" s="1"/>
  <c r="L9" i="42" s="1"/>
  <c r="B11" i="33"/>
  <c r="D11" i="33"/>
  <c r="D14" i="33" s="1"/>
  <c r="D16" i="33" s="1"/>
  <c r="D18" i="33" s="1"/>
  <c r="D9" i="34" l="1"/>
  <c r="C9" i="34"/>
  <c r="G18" i="30"/>
  <c r="H18" i="30" s="1"/>
  <c r="I18" i="30" s="1"/>
  <c r="J18" i="30" s="1"/>
  <c r="K18" i="30" s="1"/>
  <c r="B14" i="33"/>
  <c r="B16" i="33" s="1"/>
  <c r="B18" i="33" s="1"/>
  <c r="B22" i="33" s="1"/>
  <c r="B23" i="33" s="1"/>
  <c r="L10" i="42"/>
  <c r="L11" i="42"/>
  <c r="D7" i="40"/>
  <c r="D12" i="40"/>
  <c r="E16" i="33"/>
  <c r="C13" i="40" s="1"/>
  <c r="C12" i="40"/>
  <c r="C7" i="40"/>
  <c r="F16" i="33"/>
  <c r="C5" i="39" s="1"/>
  <c r="C7" i="39"/>
  <c r="C8" i="39" s="1"/>
  <c r="B6" i="36"/>
  <c r="B21" i="36" s="1"/>
  <c r="K4" i="30"/>
  <c r="J35" i="33"/>
  <c r="I40" i="33"/>
  <c r="G38" i="30"/>
  <c r="G24" i="30"/>
  <c r="H24" i="30" s="1"/>
  <c r="G12" i="30"/>
  <c r="G15" i="30"/>
  <c r="H15" i="30" s="1"/>
  <c r="I15" i="30" s="1"/>
  <c r="G45" i="30"/>
  <c r="G21" i="30"/>
  <c r="G35" i="30"/>
  <c r="E30" i="40" s="1"/>
  <c r="D22" i="33"/>
  <c r="D23" i="33" s="1"/>
  <c r="D27" i="30"/>
  <c r="J42" i="33"/>
  <c r="C27" i="30"/>
  <c r="H42" i="30"/>
  <c r="F63" i="33"/>
  <c r="E63" i="33"/>
  <c r="C22" i="33"/>
  <c r="C23" i="33" s="1"/>
  <c r="G9" i="34" l="1"/>
  <c r="H9" i="34"/>
  <c r="I9" i="34" s="1"/>
  <c r="B27" i="30"/>
  <c r="D13" i="40"/>
  <c r="M9" i="42"/>
  <c r="D14" i="40"/>
  <c r="D6" i="40"/>
  <c r="D34" i="40"/>
  <c r="D18" i="40"/>
  <c r="E18" i="33"/>
  <c r="C14" i="40"/>
  <c r="C34" i="40"/>
  <c r="C18" i="40"/>
  <c r="C6" i="40"/>
  <c r="H38" i="30"/>
  <c r="F29" i="40" s="1"/>
  <c r="E29" i="40"/>
  <c r="F18" i="33"/>
  <c r="F22" i="33" s="1"/>
  <c r="C13" i="39"/>
  <c r="C6" i="39"/>
  <c r="C30" i="30"/>
  <c r="D30" i="30"/>
  <c r="B30" i="30"/>
  <c r="J15" i="30"/>
  <c r="K15" i="30" s="1"/>
  <c r="K35" i="33"/>
  <c r="K40" i="33" s="1"/>
  <c r="J40" i="33"/>
  <c r="G9" i="30"/>
  <c r="G8" i="30" s="1"/>
  <c r="K9" i="30"/>
  <c r="I9" i="30"/>
  <c r="H9" i="30"/>
  <c r="J9" i="30"/>
  <c r="H12" i="30"/>
  <c r="I12" i="30" s="1"/>
  <c r="J12" i="30" s="1"/>
  <c r="K12" i="30" s="1"/>
  <c r="H21" i="30"/>
  <c r="I21" i="30" s="1"/>
  <c r="J21" i="30" s="1"/>
  <c r="K21" i="30" s="1"/>
  <c r="H45" i="30"/>
  <c r="H35" i="30"/>
  <c r="F30" i="40" s="1"/>
  <c r="K42" i="33"/>
  <c r="I42" i="30"/>
  <c r="I24" i="30"/>
  <c r="J24" i="30" s="1"/>
  <c r="K24" i="30" s="1"/>
  <c r="J9" i="34" l="1"/>
  <c r="K9" i="34" s="1"/>
  <c r="I38" i="30"/>
  <c r="G11" i="30"/>
  <c r="G8" i="33" s="1"/>
  <c r="G20" i="30"/>
  <c r="G17" i="33" s="1"/>
  <c r="G69" i="33" s="1"/>
  <c r="G17" i="30"/>
  <c r="G12" i="33" s="1"/>
  <c r="M11" i="42"/>
  <c r="M10" i="42"/>
  <c r="E22" i="33"/>
  <c r="E27" i="30"/>
  <c r="J38" i="30"/>
  <c r="H29" i="40" s="1"/>
  <c r="G29" i="40"/>
  <c r="H33" i="37"/>
  <c r="I33" i="37" s="1"/>
  <c r="J33" i="37" s="1"/>
  <c r="F27" i="30"/>
  <c r="H8" i="30"/>
  <c r="H11" i="30" s="1"/>
  <c r="H8" i="33" s="1"/>
  <c r="G41" i="30"/>
  <c r="G7" i="33"/>
  <c r="G23" i="30"/>
  <c r="G13" i="33" s="1"/>
  <c r="G34" i="30"/>
  <c r="G56" i="33" s="1"/>
  <c r="G73" i="33" s="1"/>
  <c r="G44" i="30"/>
  <c r="G59" i="33" s="1"/>
  <c r="G14" i="30"/>
  <c r="I45" i="30"/>
  <c r="I35" i="30"/>
  <c r="G30" i="40" s="1"/>
  <c r="J42" i="30"/>
  <c r="K42" i="30" s="1"/>
  <c r="G74" i="33" l="1"/>
  <c r="G43" i="33"/>
  <c r="G45" i="33" s="1"/>
  <c r="G10" i="33"/>
  <c r="G37" i="30"/>
  <c r="G55" i="33" s="1"/>
  <c r="G72" i="33" s="1"/>
  <c r="F23" i="33"/>
  <c r="J9" i="42" s="1"/>
  <c r="D15" i="40"/>
  <c r="E23" i="33"/>
  <c r="C15" i="40"/>
  <c r="K38" i="30"/>
  <c r="I29" i="40" s="1"/>
  <c r="D17" i="40"/>
  <c r="D8" i="40"/>
  <c r="D16" i="40"/>
  <c r="D25" i="40"/>
  <c r="C8" i="40"/>
  <c r="C17" i="40"/>
  <c r="C16" i="40"/>
  <c r="C25" i="40"/>
  <c r="E30" i="30"/>
  <c r="C14" i="39"/>
  <c r="C9" i="39"/>
  <c r="F30" i="30"/>
  <c r="H44" i="30"/>
  <c r="H59" i="33" s="1"/>
  <c r="I8" i="30"/>
  <c r="I34" i="30" s="1"/>
  <c r="I56" i="33" s="1"/>
  <c r="H7" i="33"/>
  <c r="H23" i="30"/>
  <c r="H13" i="33" s="1"/>
  <c r="H14" i="30"/>
  <c r="H17" i="30"/>
  <c r="H12" i="33" s="1"/>
  <c r="H41" i="30"/>
  <c r="H43" i="33" s="1"/>
  <c r="H45" i="33" s="1"/>
  <c r="H20" i="30"/>
  <c r="H17" i="33" s="1"/>
  <c r="H34" i="30"/>
  <c r="H56" i="33" s="1"/>
  <c r="H73" i="33" s="1"/>
  <c r="G83" i="33"/>
  <c r="G85" i="33" s="1"/>
  <c r="G9" i="33"/>
  <c r="G4" i="34" s="1"/>
  <c r="J45" i="30"/>
  <c r="J35" i="30"/>
  <c r="H74" i="33" l="1"/>
  <c r="H75" i="33"/>
  <c r="G75" i="33"/>
  <c r="J11" i="42"/>
  <c r="J10" i="42"/>
  <c r="C9" i="40"/>
  <c r="C21" i="40"/>
  <c r="K35" i="30"/>
  <c r="I30" i="40" s="1"/>
  <c r="H30" i="40"/>
  <c r="G30" i="30"/>
  <c r="H30" i="30" s="1"/>
  <c r="G11" i="33"/>
  <c r="G14" i="33" s="1"/>
  <c r="D21" i="40"/>
  <c r="D9" i="40"/>
  <c r="C15" i="39"/>
  <c r="C10" i="39"/>
  <c r="C11" i="39" s="1"/>
  <c r="I44" i="30"/>
  <c r="I59" i="33" s="1"/>
  <c r="H69" i="33"/>
  <c r="H83" i="33"/>
  <c r="H10" i="33"/>
  <c r="H37" i="30"/>
  <c r="H55" i="33" s="1"/>
  <c r="H9" i="33"/>
  <c r="H4" i="34" s="1"/>
  <c r="I14" i="30"/>
  <c r="J8" i="30"/>
  <c r="J34" i="30" s="1"/>
  <c r="J56" i="33" s="1"/>
  <c r="J73" i="33" s="1"/>
  <c r="I7" i="33"/>
  <c r="I17" i="30"/>
  <c r="I12" i="33" s="1"/>
  <c r="I11" i="30"/>
  <c r="I8" i="33" s="1"/>
  <c r="I41" i="30"/>
  <c r="I43" i="33" s="1"/>
  <c r="I45" i="33" s="1"/>
  <c r="I23" i="30"/>
  <c r="I13" i="33" s="1"/>
  <c r="I20" i="30"/>
  <c r="I17" i="33" s="1"/>
  <c r="I73" i="33"/>
  <c r="K45" i="30"/>
  <c r="G76" i="33" l="1"/>
  <c r="I74" i="33"/>
  <c r="B22" i="37"/>
  <c r="I75" i="33"/>
  <c r="D7" i="39"/>
  <c r="D8" i="39" s="1"/>
  <c r="E12" i="40"/>
  <c r="E7" i="40"/>
  <c r="I30" i="30"/>
  <c r="J30" i="30" s="1"/>
  <c r="K30" i="30" s="1"/>
  <c r="H11" i="33"/>
  <c r="H14" i="33" s="1"/>
  <c r="J44" i="30"/>
  <c r="J59" i="33" s="1"/>
  <c r="J20" i="30"/>
  <c r="J17" i="33" s="1"/>
  <c r="J14" i="30"/>
  <c r="J7" i="33"/>
  <c r="J17" i="30"/>
  <c r="J12" i="33" s="1"/>
  <c r="J11" i="30"/>
  <c r="J8" i="33" s="1"/>
  <c r="K8" i="30"/>
  <c r="J23" i="30"/>
  <c r="J13" i="33" s="1"/>
  <c r="J41" i="30"/>
  <c r="J43" i="33" s="1"/>
  <c r="J45" i="33" s="1"/>
  <c r="I10" i="33"/>
  <c r="I37" i="30"/>
  <c r="I55" i="33" s="1"/>
  <c r="I72" i="33" s="1"/>
  <c r="I69" i="33"/>
  <c r="I83" i="33"/>
  <c r="I9" i="33"/>
  <c r="I4" i="34" s="1"/>
  <c r="H72" i="33"/>
  <c r="J74" i="33" l="1"/>
  <c r="J75" i="33"/>
  <c r="F12" i="40"/>
  <c r="F7" i="40"/>
  <c r="E7" i="39"/>
  <c r="E8" i="39" s="1"/>
  <c r="I11" i="33"/>
  <c r="I14" i="33" s="1"/>
  <c r="I76" i="33"/>
  <c r="D22" i="37" s="1"/>
  <c r="J10" i="33"/>
  <c r="J37" i="30"/>
  <c r="J55" i="33" s="1"/>
  <c r="K7" i="33"/>
  <c r="K11" i="30"/>
  <c r="K8" i="33" s="1"/>
  <c r="K41" i="30"/>
  <c r="K43" i="33" s="1"/>
  <c r="K45" i="33" s="1"/>
  <c r="K23" i="30"/>
  <c r="K13" i="33" s="1"/>
  <c r="K20" i="30"/>
  <c r="K17" i="33" s="1"/>
  <c r="K14" i="30"/>
  <c r="K17" i="30"/>
  <c r="K12" i="33" s="1"/>
  <c r="K34" i="30"/>
  <c r="K44" i="30"/>
  <c r="K59" i="33" s="1"/>
  <c r="K74" i="33" s="1"/>
  <c r="J9" i="33"/>
  <c r="J4" i="34" s="1"/>
  <c r="H76" i="33"/>
  <c r="J69" i="33"/>
  <c r="J83" i="33"/>
  <c r="C22" i="37" l="1"/>
  <c r="K75" i="33"/>
  <c r="K56" i="33"/>
  <c r="K73" i="33" s="1"/>
  <c r="G12" i="40"/>
  <c r="G7" i="40"/>
  <c r="F7" i="39"/>
  <c r="F8" i="39" s="1"/>
  <c r="K69" i="33"/>
  <c r="K83" i="33"/>
  <c r="J11" i="33"/>
  <c r="J14" i="33" s="1"/>
  <c r="K9" i="33"/>
  <c r="K4" i="34" s="1"/>
  <c r="K37" i="30"/>
  <c r="K10" i="33"/>
  <c r="J72" i="33"/>
  <c r="K55" i="33" l="1"/>
  <c r="K72" i="33" s="1"/>
  <c r="H12" i="40"/>
  <c r="H7" i="40"/>
  <c r="G7" i="39"/>
  <c r="G8" i="39" s="1"/>
  <c r="J76" i="33"/>
  <c r="E22" i="37" s="1"/>
  <c r="K11" i="33"/>
  <c r="K14" i="33" s="1"/>
  <c r="K76" i="33" l="1"/>
  <c r="F22" i="37" s="1"/>
  <c r="I12" i="40"/>
  <c r="I7" i="40"/>
  <c r="H7" i="39"/>
  <c r="H8" i="39" s="1"/>
  <c r="H19" i="33" l="1"/>
  <c r="G19" i="33"/>
  <c r="E16" i="36"/>
  <c r="C21" i="36" s="1"/>
  <c r="D21" i="36" s="1"/>
  <c r="D23" i="36" s="1"/>
  <c r="B5" i="37" s="1"/>
  <c r="C24" i="37" l="1"/>
  <c r="C26" i="37" s="1"/>
  <c r="F24" i="37"/>
  <c r="F26" i="37" s="1"/>
  <c r="G24" i="37"/>
  <c r="E24" i="37"/>
  <c r="E26" i="37" s="1"/>
  <c r="D24" i="37"/>
  <c r="D26" i="37" s="1"/>
  <c r="B24" i="37"/>
  <c r="B26" i="37" s="1"/>
  <c r="G26" i="37" l="1"/>
  <c r="B7" i="34" l="1"/>
  <c r="G7" i="34" s="1"/>
  <c r="G6" i="34" s="1"/>
  <c r="G80" i="33" s="1"/>
  <c r="G81" i="33" s="1"/>
  <c r="H7" i="34" l="1"/>
  <c r="H6" i="34" s="1"/>
  <c r="I7" i="34" l="1"/>
  <c r="I6" i="34" s="1"/>
  <c r="J7" i="34" l="1"/>
  <c r="J6" i="34" s="1"/>
  <c r="K7" i="34" l="1"/>
  <c r="K6" i="34" s="1"/>
  <c r="J80" i="33" l="1"/>
  <c r="J81" i="33" s="1"/>
  <c r="E21" i="37"/>
  <c r="H80" i="33"/>
  <c r="H81" i="33" s="1"/>
  <c r="C21" i="37"/>
  <c r="B21" i="37"/>
  <c r="I80" i="33"/>
  <c r="I81" i="33" s="1"/>
  <c r="D21" i="37"/>
  <c r="K80" i="33"/>
  <c r="K81" i="33" s="1"/>
  <c r="F21" i="37"/>
  <c r="G8" i="34"/>
  <c r="G15" i="33" s="1"/>
  <c r="B20" i="37" l="1"/>
  <c r="G68" i="33"/>
  <c r="G16" i="33"/>
  <c r="G10" i="34"/>
  <c r="E6" i="40" l="1"/>
  <c r="E34" i="40"/>
  <c r="D5" i="39"/>
  <c r="D6" i="39" s="1"/>
  <c r="E13" i="40"/>
  <c r="E14" i="40"/>
  <c r="G18" i="33"/>
  <c r="B17" i="37"/>
  <c r="B19" i="37" s="1"/>
  <c r="B23" i="37" s="1"/>
  <c r="B27" i="37" s="1"/>
  <c r="H5" i="34"/>
  <c r="G49" i="33"/>
  <c r="G26" i="30" l="1"/>
  <c r="G20" i="33" s="1"/>
  <c r="G77" i="33" s="1"/>
  <c r="G67" i="33"/>
  <c r="G70" i="33" s="1"/>
  <c r="H8" i="34"/>
  <c r="H15" i="33" s="1"/>
  <c r="G78" i="33" l="1"/>
  <c r="G87" i="33" s="1"/>
  <c r="H10" i="34"/>
  <c r="H49" i="33" s="1"/>
  <c r="H68" i="33"/>
  <c r="C20" i="37"/>
  <c r="H16" i="33"/>
  <c r="G22" i="33"/>
  <c r="H88" i="33"/>
  <c r="I5" i="34" l="1"/>
  <c r="G60" i="33"/>
  <c r="G54" i="33" s="1"/>
  <c r="E16" i="40"/>
  <c r="G29" i="30"/>
  <c r="G24" i="33" s="1"/>
  <c r="G32" i="33"/>
  <c r="D9" i="39"/>
  <c r="E8" i="40"/>
  <c r="E15" i="40"/>
  <c r="G23" i="33"/>
  <c r="I8" i="34"/>
  <c r="I15" i="33" s="1"/>
  <c r="E5" i="39"/>
  <c r="E6" i="39" s="1"/>
  <c r="F13" i="40"/>
  <c r="F14" i="40"/>
  <c r="H18" i="33"/>
  <c r="C17" i="37"/>
  <c r="C19" i="37" s="1"/>
  <c r="C23" i="37" s="1"/>
  <c r="C27" i="37" s="1"/>
  <c r="F6" i="40"/>
  <c r="F34" i="40"/>
  <c r="I16" i="33" l="1"/>
  <c r="I68" i="33"/>
  <c r="D20" i="37"/>
  <c r="E26" i="40"/>
  <c r="H84" i="33"/>
  <c r="H85" i="33" s="1"/>
  <c r="E25" i="40"/>
  <c r="G25" i="33"/>
  <c r="D12" i="39"/>
  <c r="D15" i="39"/>
  <c r="E21" i="40"/>
  <c r="D10" i="39"/>
  <c r="D11" i="39" s="1"/>
  <c r="E9" i="40"/>
  <c r="G61" i="33"/>
  <c r="E32" i="40"/>
  <c r="H26" i="30"/>
  <c r="H20" i="33" s="1"/>
  <c r="H77" i="33" s="1"/>
  <c r="H22" i="33"/>
  <c r="H32" i="33" s="1"/>
  <c r="H67" i="33"/>
  <c r="H70" i="33" s="1"/>
  <c r="I10" i="34"/>
  <c r="G33" i="33"/>
  <c r="H33" i="33" l="1"/>
  <c r="E14" i="39" s="1"/>
  <c r="E33" i="40"/>
  <c r="E22" i="40"/>
  <c r="G39" i="33"/>
  <c r="G47" i="33" s="1"/>
  <c r="G63" i="33" s="1"/>
  <c r="D16" i="39"/>
  <c r="E17" i="40"/>
  <c r="D14" i="39"/>
  <c r="I49" i="33"/>
  <c r="J5" i="34"/>
  <c r="F15" i="40"/>
  <c r="F17" i="40"/>
  <c r="F8" i="40"/>
  <c r="H23" i="33"/>
  <c r="H29" i="30"/>
  <c r="H24" i="33" s="1"/>
  <c r="F16" i="40"/>
  <c r="E9" i="39"/>
  <c r="H78" i="33"/>
  <c r="H87" i="33" s="1"/>
  <c r="E31" i="40"/>
  <c r="D13" i="39"/>
  <c r="E18" i="40"/>
  <c r="D17" i="37"/>
  <c r="D19" i="37" s="1"/>
  <c r="D23" i="37" s="1"/>
  <c r="D27" i="37" s="1"/>
  <c r="F5" i="39"/>
  <c r="F6" i="39" s="1"/>
  <c r="G14" i="40"/>
  <c r="I18" i="33"/>
  <c r="G34" i="40"/>
  <c r="G13" i="40"/>
  <c r="G6" i="40"/>
  <c r="H25" i="33" l="1"/>
  <c r="F25" i="40"/>
  <c r="E12" i="39"/>
  <c r="I84" i="33"/>
  <c r="I85" i="33" s="1"/>
  <c r="F26" i="40"/>
  <c r="I88" i="33"/>
  <c r="E10" i="39"/>
  <c r="E11" i="39" s="1"/>
  <c r="E15" i="39"/>
  <c r="F21" i="40"/>
  <c r="F9" i="40"/>
  <c r="I67" i="33"/>
  <c r="I70" i="33" s="1"/>
  <c r="I26" i="30"/>
  <c r="I20" i="33" s="1"/>
  <c r="I77" i="33" s="1"/>
  <c r="J8" i="34"/>
  <c r="J15" i="33" s="1"/>
  <c r="F33" i="40"/>
  <c r="E16" i="39"/>
  <c r="H39" i="33"/>
  <c r="H47" i="33" s="1"/>
  <c r="F22" i="40"/>
  <c r="J10" i="34" l="1"/>
  <c r="I78" i="33"/>
  <c r="I87" i="33" s="1"/>
  <c r="I22" i="33"/>
  <c r="G15" i="40" s="1"/>
  <c r="E20" i="37"/>
  <c r="J16" i="33"/>
  <c r="J68" i="33"/>
  <c r="H60" i="33"/>
  <c r="H54" i="33" s="1"/>
  <c r="J49" i="33"/>
  <c r="K5" i="34"/>
  <c r="J88" i="33"/>
  <c r="I23" i="33" l="1"/>
  <c r="G8" i="40"/>
  <c r="I29" i="30"/>
  <c r="I24" i="33" s="1"/>
  <c r="G26" i="40" s="1"/>
  <c r="I32" i="33"/>
  <c r="G16" i="40"/>
  <c r="F9" i="39"/>
  <c r="I60" i="33"/>
  <c r="I54" i="33" s="1"/>
  <c r="I33" i="33"/>
  <c r="F10" i="39"/>
  <c r="F11" i="39" s="1"/>
  <c r="G21" i="40"/>
  <c r="F15" i="39"/>
  <c r="G9" i="40"/>
  <c r="K8" i="34"/>
  <c r="K15" i="33" s="1"/>
  <c r="H14" i="40"/>
  <c r="H13" i="40"/>
  <c r="E17" i="37"/>
  <c r="E19" i="37" s="1"/>
  <c r="E23" i="37" s="1"/>
  <c r="E27" i="37" s="1"/>
  <c r="H34" i="40"/>
  <c r="H6" i="40"/>
  <c r="G5" i="39"/>
  <c r="G6" i="39" s="1"/>
  <c r="J18" i="33"/>
  <c r="H61" i="33"/>
  <c r="H63" i="33" s="1"/>
  <c r="F32" i="40"/>
  <c r="I25" i="33" l="1"/>
  <c r="G25" i="40"/>
  <c r="J84" i="33"/>
  <c r="J85" i="33" s="1"/>
  <c r="F12" i="39"/>
  <c r="K10" i="34"/>
  <c r="K49" i="33" s="1"/>
  <c r="F31" i="40"/>
  <c r="E13" i="39"/>
  <c r="F18" i="40"/>
  <c r="G33" i="40"/>
  <c r="G22" i="40"/>
  <c r="I39" i="33"/>
  <c r="I47" i="33" s="1"/>
  <c r="F16" i="39"/>
  <c r="F14" i="39"/>
  <c r="G17" i="40"/>
  <c r="I61" i="33"/>
  <c r="G32" i="40"/>
  <c r="J67" i="33"/>
  <c r="J70" i="33" s="1"/>
  <c r="J26" i="30"/>
  <c r="J20" i="33" s="1"/>
  <c r="J77" i="33" s="1"/>
  <c r="F20" i="37"/>
  <c r="K68" i="33"/>
  <c r="K16" i="33"/>
  <c r="I63" i="33" l="1"/>
  <c r="G31" i="40"/>
  <c r="F13" i="39"/>
  <c r="G18" i="40"/>
  <c r="I14" i="40"/>
  <c r="I6" i="40"/>
  <c r="I34" i="40"/>
  <c r="H5" i="39"/>
  <c r="H6" i="39" s="1"/>
  <c r="I13" i="40"/>
  <c r="K18" i="33"/>
  <c r="F17" i="37"/>
  <c r="F19" i="37" s="1"/>
  <c r="F23" i="37" s="1"/>
  <c r="J78" i="33"/>
  <c r="J87" i="33" s="1"/>
  <c r="J22" i="33"/>
  <c r="K26" i="30" l="1"/>
  <c r="K20" i="33" s="1"/>
  <c r="K77" i="33" s="1"/>
  <c r="K67" i="33"/>
  <c r="K70" i="33" s="1"/>
  <c r="G9" i="39"/>
  <c r="H16" i="40"/>
  <c r="H8" i="40"/>
  <c r="J29" i="30"/>
  <c r="J24" i="33" s="1"/>
  <c r="J23" i="33"/>
  <c r="H15" i="40"/>
  <c r="J32" i="33"/>
  <c r="F27" i="37"/>
  <c r="K16" i="37" s="1"/>
  <c r="G23" i="37"/>
  <c r="K22" i="33" l="1"/>
  <c r="G15" i="39"/>
  <c r="G10" i="39"/>
  <c r="G11" i="39" s="1"/>
  <c r="H9" i="40"/>
  <c r="H21" i="40"/>
  <c r="K32" i="33"/>
  <c r="K33" i="33" s="1"/>
  <c r="J33" i="33"/>
  <c r="J25" i="33"/>
  <c r="H25" i="40"/>
  <c r="G12" i="39"/>
  <c r="K84" i="33"/>
  <c r="K85" i="33" s="1"/>
  <c r="H26" i="40"/>
  <c r="J60" i="33"/>
  <c r="J54" i="33" s="1"/>
  <c r="K17" i="37"/>
  <c r="G27" i="37"/>
  <c r="K18" i="37" s="1"/>
  <c r="K19" i="37" s="1"/>
  <c r="K78" i="33"/>
  <c r="K87" i="33" s="1"/>
  <c r="I24" i="40" l="1"/>
  <c r="I23" i="40"/>
  <c r="E24" i="40"/>
  <c r="C24" i="40"/>
  <c r="F24" i="40"/>
  <c r="G23" i="40"/>
  <c r="K22" i="37"/>
  <c r="K24" i="37" s="1"/>
  <c r="D23" i="40"/>
  <c r="H23" i="40"/>
  <c r="D24" i="40"/>
  <c r="C23" i="40"/>
  <c r="H24" i="40"/>
  <c r="E23" i="40"/>
  <c r="G24" i="40"/>
  <c r="F23" i="40"/>
  <c r="K60" i="33"/>
  <c r="K54" i="33" s="1"/>
  <c r="J39" i="33"/>
  <c r="J47" i="33" s="1"/>
  <c r="G16" i="39"/>
  <c r="H22" i="40"/>
  <c r="H33" i="40"/>
  <c r="H17" i="40"/>
  <c r="G14" i="39"/>
  <c r="I22" i="40"/>
  <c r="K39" i="33"/>
  <c r="K47" i="33" s="1"/>
  <c r="H16" i="39"/>
  <c r="I33" i="40"/>
  <c r="J61" i="33"/>
  <c r="H32" i="40"/>
  <c r="I8" i="40"/>
  <c r="H9" i="39"/>
  <c r="H14" i="39"/>
  <c r="I16" i="40"/>
  <c r="I15" i="40"/>
  <c r="K23" i="33"/>
  <c r="I17" i="40"/>
  <c r="K29" i="30"/>
  <c r="K24" i="33" s="1"/>
  <c r="I21" i="40" l="1"/>
  <c r="H15" i="39"/>
  <c r="H10" i="39"/>
  <c r="H11" i="39" s="1"/>
  <c r="I9" i="40"/>
  <c r="J63" i="33"/>
  <c r="H31" i="40"/>
  <c r="G13" i="39"/>
  <c r="H18" i="40"/>
  <c r="B33" i="37"/>
  <c r="F33" i="37"/>
  <c r="H12" i="39"/>
  <c r="K25" i="33"/>
  <c r="I26" i="40"/>
  <c r="I25" i="40"/>
  <c r="K61" i="33"/>
  <c r="I32" i="40"/>
  <c r="I31" i="40" l="1"/>
  <c r="K63" i="33"/>
  <c r="H13" i="39"/>
  <c r="I18" i="40"/>
  <c r="B32" i="37"/>
  <c r="B34" i="37" s="1"/>
  <c r="F17" i="39"/>
  <c r="H17" i="39"/>
  <c r="C17" i="39"/>
  <c r="D17" i="39"/>
  <c r="G17" i="39"/>
  <c r="E17" i="39"/>
</calcChain>
</file>

<file path=xl/sharedStrings.xml><?xml version="1.0" encoding="utf-8"?>
<sst xmlns="http://schemas.openxmlformats.org/spreadsheetml/2006/main" count="829" uniqueCount="562">
  <si>
    <t>Date</t>
  </si>
  <si>
    <t>Beta</t>
  </si>
  <si>
    <t>Others</t>
  </si>
  <si>
    <t>Year</t>
  </si>
  <si>
    <t>Profit Before Tax</t>
  </si>
  <si>
    <t>Preference Dividend</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</si>
  <si>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</si>
  <si>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</si>
  <si>
    <t>Non-Current Assets:</t>
  </si>
  <si>
    <t>Fixed Assets</t>
  </si>
  <si>
    <t xml:space="preserve">  Property, Plant and Equipment </t>
  </si>
  <si>
    <t xml:space="preserve">  Capital Work in Progress </t>
  </si>
  <si>
    <t xml:space="preserve">  Intangible Assets </t>
  </si>
  <si>
    <t>Intangible Assets under Development</t>
  </si>
  <si>
    <t>Fixed Assets Held For Sale</t>
  </si>
  <si>
    <t>Lease Adjustment</t>
  </si>
  <si>
    <t xml:space="preserve"> Biological Assets other than Bearer Plants </t>
  </si>
  <si>
    <t>Non-current Investments</t>
  </si>
  <si>
    <t xml:space="preserve">  Investment Properties </t>
  </si>
  <si>
    <t xml:space="preserve">  Investments in Subsidiaries, Associates and Joint venture </t>
  </si>
  <si>
    <t>Financial Assets :</t>
  </si>
  <si>
    <t xml:space="preserve">  Investments of Life Insurance Business </t>
  </si>
  <si>
    <t xml:space="preserve">  Investments - Long-term </t>
  </si>
  <si>
    <t xml:space="preserve">  Loans - Long - Term </t>
  </si>
  <si>
    <t xml:space="preserve">  Others Financial Assets - Long-term </t>
  </si>
  <si>
    <t xml:space="preserve"> Non Current Tax Assets - Long - Term </t>
  </si>
  <si>
    <t xml:space="preserve"> Insurance Related Assets </t>
  </si>
  <si>
    <t xml:space="preserve"> Other Non-current Assets </t>
  </si>
  <si>
    <t xml:space="preserve"> Deferred Tax Assets (Net) </t>
  </si>
  <si>
    <t>Total Reported Non-current Assets</t>
  </si>
  <si>
    <t>Current Assets:</t>
  </si>
  <si>
    <t xml:space="preserve"> Inventories </t>
  </si>
  <si>
    <t xml:space="preserve">  Current Investments </t>
  </si>
  <si>
    <t xml:space="preserve">  Trade Receivables </t>
  </si>
  <si>
    <t xml:space="preserve">  Cash and Cash Equivalents </t>
  </si>
  <si>
    <t xml:space="preserve">  Bank Balances Other Than Cash and Cash Equivalents </t>
  </si>
  <si>
    <t xml:space="preserve">  Loans - Short-term </t>
  </si>
  <si>
    <t xml:space="preserve">  Others Financial Assets - Short-term </t>
  </si>
  <si>
    <t xml:space="preserve"> Current Tax Assets - Short-term </t>
  </si>
  <si>
    <t xml:space="preserve"> Other Current Assets </t>
  </si>
  <si>
    <t xml:space="preserve"> Assets Classified as Held for Sale </t>
  </si>
  <si>
    <t>Total Current Assets</t>
  </si>
  <si>
    <t>Foreign Currency Monetary Item Translation Difference Account</t>
  </si>
  <si>
    <t xml:space="preserve"> Regulatory Deferral Account - Debit Balance </t>
  </si>
  <si>
    <t>Other Assets Excluding Non-Current and Current Assets</t>
  </si>
  <si>
    <t>Total Non-Current and Other Assets</t>
  </si>
  <si>
    <t>Total Assets</t>
  </si>
  <si>
    <t>EQUITY AND LIABILITIES</t>
  </si>
  <si>
    <t xml:space="preserve"> Share Capital </t>
  </si>
  <si>
    <t>Number of Equity Shares - Bought Back during the Current period</t>
  </si>
  <si>
    <t>Number of Total Bonus Shares Issued upto Current period</t>
  </si>
  <si>
    <t>Number of Equity Shares - Paid Up</t>
  </si>
  <si>
    <t>Paid Up Capital</t>
  </si>
  <si>
    <t>Treasury Shares</t>
  </si>
  <si>
    <t>Number of Bonus Shares Issued During the Current Period.</t>
  </si>
  <si>
    <t>Number of Shares Splitted During the Current Period.</t>
  </si>
  <si>
    <t xml:space="preserve"> Other Equity </t>
  </si>
  <si>
    <t>Money Received Against Share Warrants</t>
  </si>
  <si>
    <t xml:space="preserve"> Employee Stock Options / Others </t>
  </si>
  <si>
    <t>Share Application Money Pending Allotment</t>
  </si>
  <si>
    <t>Total Stockholders’ Equity</t>
  </si>
  <si>
    <t>Total Equity</t>
  </si>
  <si>
    <t>Non-Current Liabilities:</t>
  </si>
  <si>
    <t xml:space="preserve">  Long Term Borrowings </t>
  </si>
  <si>
    <t xml:space="preserve">  Others Financial Liabilities - Long-term </t>
  </si>
  <si>
    <t xml:space="preserve"> Non Current Tax Liabilities - Long-term </t>
  </si>
  <si>
    <t xml:space="preserve"> Long-term Provisions </t>
  </si>
  <si>
    <t xml:space="preserve"> Deferred Tax Liabilities (Net) </t>
  </si>
  <si>
    <t xml:space="preserve"> Insurance Related Liabilities </t>
  </si>
  <si>
    <t xml:space="preserve"> Other Non-Current Liabilities </t>
  </si>
  <si>
    <t>Total Reported Non-current Liabilities</t>
  </si>
  <si>
    <t>Current Liabilities:</t>
  </si>
  <si>
    <t xml:space="preserve">  Short Term Borrowings </t>
  </si>
  <si>
    <t xml:space="preserve">  Trade Payables </t>
  </si>
  <si>
    <t xml:space="preserve">  Others Financial Liabilities - Short-term </t>
  </si>
  <si>
    <t xml:space="preserve"> Current Tax Liabilities - Short-term </t>
  </si>
  <si>
    <t xml:space="preserve"> Provisions </t>
  </si>
  <si>
    <t xml:space="preserve"> Other Current Liabilities </t>
  </si>
  <si>
    <t xml:space="preserve"> Liabilities Directly Associated with Assets Classified as Held for Sale </t>
  </si>
  <si>
    <t>Total Current Liabilities</t>
  </si>
  <si>
    <t>Total Equity and Liabilities</t>
  </si>
  <si>
    <t xml:space="preserve"> Contingent Liabilities and Commitments (to the Extent Not Provided for) </t>
  </si>
  <si>
    <t>Cash Flow Summary</t>
  </si>
  <si>
    <t>Cash and Cash Equivalents at Beginning of the year</t>
  </si>
  <si>
    <t xml:space="preserve"> Net Cash from Operating Activities </t>
  </si>
  <si>
    <t>Net Profit before Tax &amp; Extraordinary Items</t>
  </si>
  <si>
    <t>Depreciation</t>
  </si>
  <si>
    <t>Interest (Net)</t>
  </si>
  <si>
    <t>Dividend Received</t>
  </si>
  <si>
    <t>P/L on Sales of Assets</t>
  </si>
  <si>
    <t>P/L on Sales of Invest</t>
  </si>
  <si>
    <t>Prov. &amp; W/O (Net)</t>
  </si>
  <si>
    <t>P/L in Forex</t>
  </si>
  <si>
    <t>Fin. Lease &amp; Rental Chrgs</t>
  </si>
  <si>
    <t>Total Adjustments (PBT &amp; Extraordinary Items)</t>
  </si>
  <si>
    <t>Op. Profit before Working Capital Changes</t>
  </si>
  <si>
    <t>Trade &amp; 0th receivables</t>
  </si>
  <si>
    <t>Inventories</t>
  </si>
  <si>
    <t>Trade Payables</t>
  </si>
  <si>
    <t>Loans &amp; Advances</t>
  </si>
  <si>
    <t>Investments</t>
  </si>
  <si>
    <t>Net Stock on Hire</t>
  </si>
  <si>
    <t>Leased Assets Net of Sale</t>
  </si>
  <si>
    <t>Trade Bill(s) Purchased</t>
  </si>
  <si>
    <t>Change in Borrowing</t>
  </si>
  <si>
    <t>Change in Deposits</t>
  </si>
  <si>
    <t>Total (OP before Working Capital Changes)</t>
  </si>
  <si>
    <t>Cash Generated from/(used in) Operations</t>
  </si>
  <si>
    <t>Interest Paid(Net)</t>
  </si>
  <si>
    <t>Direct Taxes Paid</t>
  </si>
  <si>
    <t>Advance Tax Paid</t>
  </si>
  <si>
    <t>Total-others</t>
  </si>
  <si>
    <t>Cash Flow before Extraordinary Items</t>
  </si>
  <si>
    <t>Excess Depreciation W/b</t>
  </si>
  <si>
    <t>Premium on Lease of land</t>
  </si>
  <si>
    <t>Payment Towards VRS</t>
  </si>
  <si>
    <t>Prior Year 's Taxation</t>
  </si>
  <si>
    <t>Gain on Forex Exch. Tran</t>
  </si>
  <si>
    <t xml:space="preserve"> Net Cash Used in Investing Activities </t>
  </si>
  <si>
    <t>Purchased of Fixed Assets</t>
  </si>
  <si>
    <t>Sale of Fixed Assets</t>
  </si>
  <si>
    <t>Capital Expenditure</t>
  </si>
  <si>
    <t>capital WIP</t>
  </si>
  <si>
    <t>Capital Subsidy Recd</t>
  </si>
  <si>
    <t>Purchase of Investments</t>
  </si>
  <si>
    <t>Sale of Investments</t>
  </si>
  <si>
    <t>Investment Income</t>
  </si>
  <si>
    <t>Interest Received</t>
  </si>
  <si>
    <t>Invest.In Subsidiaires</t>
  </si>
  <si>
    <t>Loans to Subsidiaires</t>
  </si>
  <si>
    <t>Investment in Group Cos</t>
  </si>
  <si>
    <t>Issue of Sh. on Acqu. of Cos</t>
  </si>
  <si>
    <t>Canc. of Invest. in Cos Acq.</t>
  </si>
  <si>
    <t>Acquisition of Companies</t>
  </si>
  <si>
    <t>Inter Corporate Deposits</t>
  </si>
  <si>
    <t xml:space="preserve"> Net Cash Used in Financing Activities </t>
  </si>
  <si>
    <t>Proceeds from Issue of shares (incl share premium)</t>
  </si>
  <si>
    <t>Proceed from Issue of Debentures</t>
  </si>
  <si>
    <t>Proceed from 0ther Long Term Borrowings</t>
  </si>
  <si>
    <t>Proceed from Bank Borrowings</t>
  </si>
  <si>
    <t>Proceed from Short Tem Borrowings</t>
  </si>
  <si>
    <t>Proceed from Deposits</t>
  </si>
  <si>
    <t>Share Application Money</t>
  </si>
  <si>
    <t>Cash/Capital Investment Subsidy</t>
  </si>
  <si>
    <t>Loans from a Corporate Body</t>
  </si>
  <si>
    <t>Share Application Money Refund</t>
  </si>
  <si>
    <t>On Redemption of Debenture</t>
  </si>
  <si>
    <t>Of the Long Tem Borrowings</t>
  </si>
  <si>
    <t>Of the short term Borrowings</t>
  </si>
  <si>
    <t>Of financial Liabilities</t>
  </si>
  <si>
    <t>Dividend Paid</t>
  </si>
  <si>
    <t>Shelter Assistance Reserve</t>
  </si>
  <si>
    <t>Interest Paid</t>
  </si>
  <si>
    <t>Net Inc/(Dec) in Cash and Cash Equivalent</t>
  </si>
  <si>
    <t>Cash and Cash Equivalents at End of the year</t>
  </si>
  <si>
    <t>Scenarios:</t>
  </si>
  <si>
    <t>Optimistic case</t>
  </si>
  <si>
    <t>Base case</t>
  </si>
  <si>
    <t>Selected case</t>
  </si>
  <si>
    <t>Worst case</t>
  </si>
  <si>
    <t>Revenues</t>
  </si>
  <si>
    <t>Case 1</t>
  </si>
  <si>
    <t>Case 2</t>
  </si>
  <si>
    <t>Case 3</t>
  </si>
  <si>
    <t>Inventory</t>
  </si>
  <si>
    <t xml:space="preserve"> Other Income </t>
  </si>
  <si>
    <t>Gross Margin</t>
  </si>
  <si>
    <t>EBITDA</t>
  </si>
  <si>
    <t>EBIT</t>
  </si>
  <si>
    <t>Tax rate</t>
  </si>
  <si>
    <t>Balance Sheet</t>
  </si>
  <si>
    <t>Capex</t>
  </si>
  <si>
    <t>Trade Receivable</t>
  </si>
  <si>
    <t>NOPAT</t>
  </si>
  <si>
    <t>Market risk premium</t>
  </si>
  <si>
    <t>Cost of Equity</t>
  </si>
  <si>
    <t>Cost of Debt</t>
  </si>
  <si>
    <t>Weighted Average Cost of Capital</t>
  </si>
  <si>
    <t>Equity</t>
  </si>
  <si>
    <t>WACC</t>
  </si>
  <si>
    <t>Growth</t>
  </si>
  <si>
    <t>Terminal Value</t>
  </si>
  <si>
    <t>Other current assets</t>
  </si>
  <si>
    <t>Assumptions</t>
  </si>
  <si>
    <t>Particulars</t>
  </si>
  <si>
    <t>Y-o-Y Growth</t>
  </si>
  <si>
    <t>P&amp;L Assumptions</t>
  </si>
  <si>
    <t xml:space="preserve">INR in Cr. </t>
  </si>
  <si>
    <t>2018
Actual</t>
  </si>
  <si>
    <t>2019
Actual</t>
  </si>
  <si>
    <t>2020
Actual</t>
  </si>
  <si>
    <t>2023
Forecast</t>
  </si>
  <si>
    <t>2024
Forecast</t>
  </si>
  <si>
    <t>2025
Forecast</t>
  </si>
  <si>
    <t>Revenue from Operations</t>
  </si>
  <si>
    <t>y-o-y growth%</t>
  </si>
  <si>
    <t>Other revenues</t>
  </si>
  <si>
    <t>% of revenues</t>
  </si>
  <si>
    <t>Cost of goods sold</t>
  </si>
  <si>
    <t>Employee benefit Expenses</t>
  </si>
  <si>
    <t>Finance Cost</t>
  </si>
  <si>
    <t>Other Expenses</t>
  </si>
  <si>
    <t>Taxes</t>
  </si>
  <si>
    <t>% of  EBT</t>
  </si>
  <si>
    <t>BS Assumptions</t>
  </si>
  <si>
    <t>Trade receivable</t>
  </si>
  <si>
    <t>Days receivables</t>
  </si>
  <si>
    <t>Days Inventory</t>
  </si>
  <si>
    <t>as a % of revenue</t>
  </si>
  <si>
    <t>Other current liabilities</t>
  </si>
  <si>
    <t>Tax Rate</t>
  </si>
  <si>
    <t>2021
Actual</t>
  </si>
  <si>
    <t>2022
Actual</t>
  </si>
  <si>
    <t>2026
Forecast</t>
  </si>
  <si>
    <t>2027
Forecast</t>
  </si>
  <si>
    <t>Less: Excise Duty</t>
  </si>
  <si>
    <t>Revenue From Operations(Net)</t>
  </si>
  <si>
    <t>Total Revenue</t>
  </si>
  <si>
    <t>EXPENSES:</t>
  </si>
  <si>
    <t>Total Expenses</t>
  </si>
  <si>
    <t>Profit Before Exceptional Items and Tax</t>
  </si>
  <si>
    <t>Profit Before Extraordinary Items and Tax</t>
  </si>
  <si>
    <t>Other Adjustments Before Tax</t>
  </si>
  <si>
    <t>Tax Expenses</t>
  </si>
  <si>
    <t>Current Tax</t>
  </si>
  <si>
    <t>Deferred Tax</t>
  </si>
  <si>
    <t>Other Tax Adjustments</t>
  </si>
  <si>
    <t>Current Tax - MAT / MAT Credit Entitlement</t>
  </si>
  <si>
    <t>Fringe Benefits Tax</t>
  </si>
  <si>
    <t>Provision for Wealth Tax</t>
  </si>
  <si>
    <t>Profit After Tax</t>
  </si>
  <si>
    <t>Pre-acquisition Profit</t>
  </si>
  <si>
    <t>Profit After Pre-acquisition Profit</t>
  </si>
  <si>
    <t>Profit/(Loss) for the period from Continuing Operations</t>
  </si>
  <si>
    <t>Discontinued Operations</t>
  </si>
  <si>
    <t>Profit / (Loss) from Discontinuing Operations</t>
  </si>
  <si>
    <t>Tax Expense of Discontinuing Operations</t>
  </si>
  <si>
    <t>Accounting Changes</t>
  </si>
  <si>
    <t>Profit Attributable to Shareholders</t>
  </si>
  <si>
    <t>Adjustments to Net Income</t>
  </si>
  <si>
    <t>Interim Preference Dividend</t>
  </si>
  <si>
    <t>Proposed / Final Preference Dividend</t>
  </si>
  <si>
    <t>Prior Year Preference Dividend Paid</t>
  </si>
  <si>
    <t>Preference Dividend Tax</t>
  </si>
  <si>
    <t>Profit Attributable to Ordinary Shareholders</t>
  </si>
  <si>
    <t>Unappropriated Profits Brought Forward</t>
  </si>
  <si>
    <t>Profits Available for Appropriation</t>
  </si>
  <si>
    <t>Dividend Tax</t>
  </si>
  <si>
    <t>Capitalization for Bonus Issue</t>
  </si>
  <si>
    <t>Unappropriated Profits Carried Forward</t>
  </si>
  <si>
    <t>Other Comprehensive Income :</t>
  </si>
  <si>
    <t>Non-Controlling Interests</t>
  </si>
  <si>
    <t>Total Comprehensive Income for the Year</t>
  </si>
  <si>
    <t>Earning Per Share - Basic</t>
  </si>
  <si>
    <t>Earning Per Share - Diluted</t>
  </si>
  <si>
    <t>Dividend Per Share</t>
  </si>
  <si>
    <t>Interim 1</t>
  </si>
  <si>
    <t>Interim 2</t>
  </si>
  <si>
    <t>Interim 3</t>
  </si>
  <si>
    <t>Interim 4</t>
  </si>
  <si>
    <t>Special</t>
  </si>
  <si>
    <t>Final</t>
  </si>
  <si>
    <t>Total Dividend Per Share</t>
  </si>
  <si>
    <t>Dividend Percentage</t>
  </si>
  <si>
    <t>Total Dividend Percentage</t>
  </si>
  <si>
    <t>Total Dividend</t>
  </si>
  <si>
    <t>Weighted Average Number of Shares in Issue - Basic</t>
  </si>
  <si>
    <t>Weighted Average Number of Shares in Issue - Diluted</t>
  </si>
  <si>
    <t>Interim Dividend Amount</t>
  </si>
  <si>
    <t>Final Dividend Amount</t>
  </si>
  <si>
    <t>Special Dividend Amount</t>
  </si>
  <si>
    <t>Dividend Amount Calculated</t>
  </si>
  <si>
    <t>Other Dividend Amount</t>
  </si>
  <si>
    <t xml:space="preserve"> ACTUAL PERIOD</t>
  </si>
  <si>
    <t>FORECASTED PERIOD</t>
  </si>
  <si>
    <t>Number of Days</t>
  </si>
  <si>
    <t>Profit and Loss Statement</t>
  </si>
  <si>
    <t>Trend</t>
  </si>
  <si>
    <t xml:space="preserve"> </t>
  </si>
  <si>
    <t>Cost of Goods sold</t>
  </si>
  <si>
    <t>EBT</t>
  </si>
  <si>
    <t>Net Income</t>
  </si>
  <si>
    <t>EPS</t>
  </si>
  <si>
    <t>Share Capital</t>
  </si>
  <si>
    <t>Constant</t>
  </si>
  <si>
    <t>Reserves</t>
  </si>
  <si>
    <t>Total Non-Current Liabilities</t>
  </si>
  <si>
    <t>Total Liabilities &amp; Equity</t>
  </si>
  <si>
    <t>Capital Work-In-Progress</t>
  </si>
  <si>
    <t>Cash Flow Statement</t>
  </si>
  <si>
    <t>Other Current Assets</t>
  </si>
  <si>
    <t>Profit before tax</t>
  </si>
  <si>
    <t>Add: Depreciation</t>
  </si>
  <si>
    <t>Add: Finance Cost</t>
  </si>
  <si>
    <t>Cash Flow before Working Capital Changes</t>
  </si>
  <si>
    <t>Changes in working capital</t>
  </si>
  <si>
    <t>Net Changes in working capital</t>
  </si>
  <si>
    <t>Tax paid</t>
  </si>
  <si>
    <t>Net cash flow from opreating</t>
  </si>
  <si>
    <t>Net cash flow from investing acticituies</t>
  </si>
  <si>
    <t>Finace cost</t>
  </si>
  <si>
    <t>Net cash flow from financing activities</t>
  </si>
  <si>
    <t>Net changes in cash</t>
  </si>
  <si>
    <t>Add opening cash</t>
  </si>
  <si>
    <t>Cash at the end</t>
  </si>
  <si>
    <t>Other Non-current Liabilities</t>
  </si>
  <si>
    <t>PPE SCHEDULE</t>
  </si>
  <si>
    <t>Opening PP&amp;E</t>
  </si>
  <si>
    <t>Ending PP&amp;E</t>
  </si>
  <si>
    <t>Finance &gt;&gt;Profit &amp; Loss IND (Standalone)&gt;&gt;Tata Steel Ltd(Curr. in )</t>
  </si>
  <si>
    <t xml:space="preserve"> Revenue From Operations </t>
  </si>
  <si>
    <t xml:space="preserve"> Cost of Material Consumed </t>
  </si>
  <si>
    <t xml:space="preserve"> Internally Manufactured Intermediates or Components Consumed </t>
  </si>
  <si>
    <t xml:space="preserve"> Purchases of Stock-in-Trade </t>
  </si>
  <si>
    <t xml:space="preserve"> Changes in Inventories of Finished Goods, Work-in-Progress and Stock-in-Trade </t>
  </si>
  <si>
    <t xml:space="preserve"> Employee Benefits / Salaries &amp; other Staff Cost </t>
  </si>
  <si>
    <t xml:space="preserve"> Finance Cost </t>
  </si>
  <si>
    <t xml:space="preserve"> Depreciation and Amortization </t>
  </si>
  <si>
    <t xml:space="preserve"> Other Expenses </t>
  </si>
  <si>
    <t xml:space="preserve"> Exceptional Items Before Tax </t>
  </si>
  <si>
    <t xml:space="preserve"> Prior Year Adjustments </t>
  </si>
  <si>
    <t xml:space="preserve"> Extraordinary Items Before Tax </t>
  </si>
  <si>
    <t xml:space="preserve">  Adjust for Previous Year </t>
  </si>
  <si>
    <t xml:space="preserve"> Extraordinary Items After Tax </t>
  </si>
  <si>
    <t xml:space="preserve"> Others </t>
  </si>
  <si>
    <t xml:space="preserve"> Transfer from Reserves </t>
  </si>
  <si>
    <t xml:space="preserve"> Dividend </t>
  </si>
  <si>
    <t xml:space="preserve"> Transfer to Reserves </t>
  </si>
  <si>
    <t xml:space="preserve"> Other Comprehensive Income That Will Not Be Reclassified to Profit Or Loss </t>
  </si>
  <si>
    <t xml:space="preserve"> Other Comprehensive Income That Will Be Reclassified to Profit Or Loss : </t>
  </si>
  <si>
    <t xml:space="preserve"> Other Comprehensive Income no Specification : </t>
  </si>
  <si>
    <t>Finance &gt;&gt;Balance Sheet IND (Standalone)&gt;&gt;Tata Steel Ltd(Curr. in )</t>
  </si>
  <si>
    <t>ASSETS</t>
  </si>
  <si>
    <t>Book Value of Share</t>
  </si>
  <si>
    <t>Finance &gt;&gt;Cash Flow (Standalone)&gt;&gt;Tata Steel Ltd(Curr. Rs in )</t>
  </si>
  <si>
    <t>BETA CALCULATION</t>
  </si>
  <si>
    <t>BETA</t>
  </si>
  <si>
    <t>Share Price</t>
  </si>
  <si>
    <t>Return %</t>
  </si>
  <si>
    <t>Index</t>
  </si>
  <si>
    <t>5 yrs BETA calculation</t>
  </si>
  <si>
    <t>BSE SENSEX</t>
  </si>
  <si>
    <t>Using SLOPE Function</t>
  </si>
  <si>
    <t>Capital Structure</t>
  </si>
  <si>
    <t>Total Debt</t>
  </si>
  <si>
    <t>Total Mix</t>
  </si>
  <si>
    <t>% of Debt</t>
  </si>
  <si>
    <t>% of Equity</t>
  </si>
  <si>
    <t>Debt to Equity</t>
  </si>
  <si>
    <t>Risk free rate(Rf)</t>
  </si>
  <si>
    <t>Cost of equity</t>
  </si>
  <si>
    <t>Source</t>
  </si>
  <si>
    <t>Cost</t>
  </si>
  <si>
    <t>Cost of debt*</t>
  </si>
  <si>
    <t>Cost of Debt after tax</t>
  </si>
  <si>
    <t>Weight</t>
  </si>
  <si>
    <t>Weighted Cost</t>
  </si>
  <si>
    <t xml:space="preserve">Debt </t>
  </si>
  <si>
    <t xml:space="preserve">DCF VALUATION </t>
  </si>
  <si>
    <t>Assumptions/Base</t>
  </si>
  <si>
    <t>Discount Rate (WACC)</t>
  </si>
  <si>
    <t>Perpetural Growth Rate</t>
  </si>
  <si>
    <t>Valuation Date</t>
  </si>
  <si>
    <t>Last Fiscal Year End</t>
  </si>
  <si>
    <t>Current Market Price</t>
  </si>
  <si>
    <t>Total Shares Outstanding (in Cr.)</t>
  </si>
  <si>
    <t>Debt (in Cr.)</t>
  </si>
  <si>
    <t>Cash (in Cr.)</t>
  </si>
  <si>
    <t>INR Cr.</t>
  </si>
  <si>
    <t>Discounted Cash Flows</t>
  </si>
  <si>
    <t>Year ˃</t>
  </si>
  <si>
    <t xml:space="preserve">Perpetuity Growth </t>
  </si>
  <si>
    <t>2023F</t>
  </si>
  <si>
    <t>2024F</t>
  </si>
  <si>
    <t>2025F</t>
  </si>
  <si>
    <t>Add- Depreciation</t>
  </si>
  <si>
    <t>Less-Capex</t>
  </si>
  <si>
    <t>Less-Net Changes In WC</t>
  </si>
  <si>
    <t>Free Cash Flows</t>
  </si>
  <si>
    <t>Discounting Factor</t>
  </si>
  <si>
    <t>PV of Free Cash Flow</t>
  </si>
  <si>
    <t>2026F</t>
  </si>
  <si>
    <t>2027F</t>
  </si>
  <si>
    <t xml:space="preserve">Intrinsic Value </t>
  </si>
  <si>
    <t>PV of Cash Flows</t>
  </si>
  <si>
    <t>Continuing Value</t>
  </si>
  <si>
    <t>PV of contuning value</t>
  </si>
  <si>
    <t>Enterprise Value (in Cr)</t>
  </si>
  <si>
    <t>Less: Debt (in Cr)</t>
  </si>
  <si>
    <t>Add: Cash (in Cr)</t>
  </si>
  <si>
    <t>Equity Value (in Cr)</t>
  </si>
  <si>
    <t>No. of share (in Cr.)</t>
  </si>
  <si>
    <t>Intrincsic value of share</t>
  </si>
  <si>
    <t>Current share price</t>
  </si>
  <si>
    <t>No of shares</t>
  </si>
  <si>
    <t>Market capitalization (in Cr)</t>
  </si>
  <si>
    <t>Assumed Figure</t>
  </si>
  <si>
    <t>Remarks</t>
  </si>
  <si>
    <t>URL</t>
  </si>
  <si>
    <t>Actual Financial Statement data for last 5 years</t>
  </si>
  <si>
    <t>Data period used for Stock and Market Index Price</t>
  </si>
  <si>
    <t>Risk Free Rate</t>
  </si>
  <si>
    <t>Market Risk Premium</t>
  </si>
  <si>
    <t>Perpetuity Growth Rate for Terminal Value</t>
  </si>
  <si>
    <t>https://data.worldbank.org/indicator/NY.GDP.MKTP.KD.ZG?locations=IN</t>
  </si>
  <si>
    <t>Risk free rate is 10 year government yield bond rate as on 07-01-2023</t>
  </si>
  <si>
    <t xml:space="preserve">Equity Risk premium of India is 6.85% as per knoema </t>
  </si>
  <si>
    <t>Financial statements has been taken for the last five years from capitaline database</t>
  </si>
  <si>
    <t>https://knoema.com/NYCCDSRP2019JAN/country-default-spreads-and-risk-premiums?tsId=1004460</t>
  </si>
  <si>
    <t>https://www.bseindia.com/markets/equity/EQReports/StockPrcHistori</t>
  </si>
  <si>
    <t>http://www.worldgovernmentbonds.com/bond-historical-data/india/10-years/</t>
  </si>
  <si>
    <t>https://awsone.capitaline.com/index.html#/Company/Condensed/condensed?</t>
  </si>
  <si>
    <t>Market Value vs Fair Value</t>
  </si>
  <si>
    <t>CMP</t>
  </si>
  <si>
    <t>Upside Potential</t>
  </si>
  <si>
    <t>Fair Value</t>
  </si>
  <si>
    <t>Upside Potential %</t>
  </si>
  <si>
    <t>Nature</t>
  </si>
  <si>
    <t>Undervalued</t>
  </si>
  <si>
    <t xml:space="preserve">Recommendation </t>
  </si>
  <si>
    <t>Strong Buy Signal</t>
  </si>
  <si>
    <t>Dividend</t>
  </si>
  <si>
    <t>Rate of Dividend</t>
  </si>
  <si>
    <t>Dividend Payout Ratio</t>
  </si>
  <si>
    <t>Opening + Net Income-Dividend</t>
  </si>
  <si>
    <t>Operating Income</t>
  </si>
  <si>
    <t>EPS Growth (%)</t>
  </si>
  <si>
    <t>Dividend yield (%)</t>
  </si>
  <si>
    <t>ROCE (%)</t>
  </si>
  <si>
    <t>ROE (%)</t>
  </si>
  <si>
    <t>PE</t>
  </si>
  <si>
    <t>P/BV</t>
  </si>
  <si>
    <t>KEY FORECAST</t>
  </si>
  <si>
    <t>Tata Steel</t>
  </si>
  <si>
    <t>BSE Sensex</t>
  </si>
  <si>
    <t>5Y</t>
  </si>
  <si>
    <t>Returns</t>
  </si>
  <si>
    <t>PERFORMANCE VS MARKET</t>
  </si>
  <si>
    <t>EBITDA Margin (%)</t>
  </si>
  <si>
    <t>EBIT Growth</t>
  </si>
  <si>
    <t>(% of revenues)</t>
  </si>
  <si>
    <t>(Depreceiation Rate %)</t>
  </si>
  <si>
    <t>Revenue Growth</t>
  </si>
  <si>
    <t>India's steel consumption is predicted to increase by 230 MT by 2030 from 130 MT in 2022 as per ibef report. Therefore, an average of 9.61% gowth every year.</t>
  </si>
  <si>
    <t>https://www.ibef.org/industry/steel/showcase/tata-steel</t>
  </si>
  <si>
    <t>RATIOS</t>
  </si>
  <si>
    <t>Operating Income (%)</t>
  </si>
  <si>
    <t>EBITDA (%)</t>
  </si>
  <si>
    <t>Adj PAT (%)</t>
  </si>
  <si>
    <t>Adj EPS (%)</t>
  </si>
  <si>
    <t>Profitability</t>
  </si>
  <si>
    <t>EBIT Margin (%)</t>
  </si>
  <si>
    <t>PAT Margin (%)</t>
  </si>
  <si>
    <t>Valuations</t>
  </si>
  <si>
    <t>Price-earnings</t>
  </si>
  <si>
    <t>Price-book</t>
  </si>
  <si>
    <t xml:space="preserve">EV/EBITDA </t>
  </si>
  <si>
    <t>EV/Sales</t>
  </si>
  <si>
    <t>Dividend payout ratio (%)</t>
  </si>
  <si>
    <t>B/S ratios</t>
  </si>
  <si>
    <t>Inventory days</t>
  </si>
  <si>
    <t>Debtor days</t>
  </si>
  <si>
    <t>Asset turnover</t>
  </si>
  <si>
    <t>Current ratio</t>
  </si>
  <si>
    <t>Debt/equity</t>
  </si>
  <si>
    <t>Interest Coverage ratio</t>
  </si>
  <si>
    <t>PE at Fair Value</t>
  </si>
  <si>
    <t>GROWTH</t>
  </si>
  <si>
    <t>Sensitivity Analysis to terminal year WACC and growth rate</t>
  </si>
  <si>
    <t>RELATIVE VALUATION</t>
  </si>
  <si>
    <t>Company</t>
  </si>
  <si>
    <t>Market Data</t>
  </si>
  <si>
    <t>Financial Data</t>
  </si>
  <si>
    <t>Valuation Ratios</t>
  </si>
  <si>
    <t xml:space="preserve">Price </t>
  </si>
  <si>
    <t>No. of Shares(in Cr.)</t>
  </si>
  <si>
    <t>Market Cap (in Cr)</t>
  </si>
  <si>
    <t>Enterprise value (in Cr)</t>
  </si>
  <si>
    <t>Sales (in Cr)</t>
  </si>
  <si>
    <t>EBITDA (in Cr)</t>
  </si>
  <si>
    <t>EBIT (in Cr)</t>
  </si>
  <si>
    <t xml:space="preserve">P/E </t>
  </si>
  <si>
    <t>EV/EBITDA</t>
  </si>
  <si>
    <t>EV/EBIT</t>
  </si>
  <si>
    <t>Average Data</t>
  </si>
  <si>
    <t>Median Data</t>
  </si>
  <si>
    <t>JSW Steel</t>
  </si>
  <si>
    <t>Hindalco</t>
  </si>
  <si>
    <t>Jindal Steel</t>
  </si>
  <si>
    <t>Basis for selection of peer companies</t>
  </si>
  <si>
    <t>Sensitivity Analysis</t>
  </si>
  <si>
    <t>In this valuation, two variable sensitivity analysis has been used based on WACC and perpetual growth rate</t>
  </si>
  <si>
    <t>PAT</t>
  </si>
  <si>
    <t>Company Name</t>
  </si>
  <si>
    <t>EBITDA Margin</t>
  </si>
  <si>
    <t>Return on Assets</t>
  </si>
  <si>
    <t>Return on Equity</t>
  </si>
  <si>
    <t>Current Ratio</t>
  </si>
  <si>
    <t>Debt/Equity Ratio</t>
  </si>
  <si>
    <t>Interest Coverage Ratio</t>
  </si>
  <si>
    <t>Asset Turnover</t>
  </si>
  <si>
    <t>Peer Comparison</t>
  </si>
  <si>
    <t>Row Labels</t>
  </si>
  <si>
    <t>Grand Total</t>
  </si>
  <si>
    <t>Column Labels</t>
  </si>
  <si>
    <t>Sum of Revenue Growth</t>
  </si>
  <si>
    <t>Sum of EBITDA Margin</t>
  </si>
  <si>
    <t>Sum of Return on Assets</t>
  </si>
  <si>
    <t>Sum of Return on Equity</t>
  </si>
  <si>
    <t>Sum of Current Ratio</t>
  </si>
  <si>
    <t>Sum of Debt/Equity Ratio</t>
  </si>
  <si>
    <t>Sum of Interest Coverage Ratio</t>
  </si>
  <si>
    <t>Sum of Asset Turnover</t>
  </si>
  <si>
    <t>For peer comparison, the data and ratios has been taken from money control and smart investing</t>
  </si>
  <si>
    <t>https://www.moneycontrol.com/india/stockpricequote/steel-large/</t>
  </si>
  <si>
    <t>Table of Contents</t>
  </si>
  <si>
    <t>Divis Laboratories</t>
  </si>
  <si>
    <t>As mentioned in Annual Report 2025</t>
  </si>
  <si>
    <t>https://www.divislabs.com/wp-content/uploads/2025/08/Annual-Report-2024-25.pdf</t>
  </si>
  <si>
    <t>Ideally, it should not exceed the growth rate of economy. And one of the proxy for economy growth rate could be GDP growth. Hence, an approximate 8.25% growth rate has been taken based on the average GDP growth rate of 5 years starting 2020 to 2024. GDP growth for 2020 's -5.8% has been excluded from the average.</t>
  </si>
  <si>
    <t xml:space="preserve">Top 4 pharma company in India </t>
  </si>
  <si>
    <t xml:space="preserve">Top Companies in India by Market Capitalisation </t>
  </si>
  <si>
    <t>2023
Actual</t>
  </si>
  <si>
    <t>2024
Actual</t>
  </si>
  <si>
    <t>2025
Actual</t>
  </si>
  <si>
    <t>2028
Forecast</t>
  </si>
  <si>
    <t>2029
Forecast</t>
  </si>
  <si>
    <t>2030
Forecast</t>
  </si>
  <si>
    <t>SUN PHARMA</t>
  </si>
  <si>
    <t>DR REDDY</t>
  </si>
  <si>
    <t>CIPLA</t>
  </si>
  <si>
    <t>Zydus LIFE</t>
  </si>
  <si>
    <t>—</t>
  </si>
  <si>
    <t>Divis Lab</t>
  </si>
  <si>
    <t>Dr Reddy</t>
  </si>
  <si>
    <t>Cipla</t>
  </si>
  <si>
    <t>Sun Pharma</t>
  </si>
  <si>
    <t>CHECK</t>
  </si>
  <si>
    <t>Net Current Assets</t>
  </si>
  <si>
    <t>Other Assets</t>
  </si>
  <si>
    <t>Net Deferred tax</t>
  </si>
  <si>
    <t>Other Liabilities</t>
  </si>
  <si>
    <t>FINANCIAL STATEMENTS OF Divi Laboratory</t>
  </si>
  <si>
    <t>Sales Turnover</t>
  </si>
  <si>
    <t>Other Income</t>
  </si>
  <si>
    <t>Total Income</t>
  </si>
  <si>
    <t>Employee Cost</t>
  </si>
  <si>
    <t>Selling and Administration Expenses</t>
  </si>
  <si>
    <t>Interest</t>
  </si>
  <si>
    <t>Secured Loans</t>
  </si>
  <si>
    <t>Net Deferred Tax</t>
  </si>
  <si>
    <t>Total Liabilities</t>
  </si>
  <si>
    <t>Current Liabilities</t>
  </si>
  <si>
    <t>Provisions</t>
  </si>
  <si>
    <t>Net Block</t>
  </si>
  <si>
    <t>Sundry Debtors</t>
  </si>
  <si>
    <t>Cash and Bank</t>
  </si>
  <si>
    <t>Loans and Advances</t>
  </si>
  <si>
    <t>5 years daily price changes of BSE Sensex and Divi Laboratory. has been used to calculate Beta.</t>
  </si>
  <si>
    <t>Sr. No.</t>
  </si>
  <si>
    <t>Detail of Assumption</t>
  </si>
  <si>
    <t>Peer Comparision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</si>
</sst>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_);_(* \(#,##0.0\);_(* &quot;-&quot;?_);@_)"/>
    <numFmt numFmtId="165" formatCode="_(* #,##0_);_(* \(#,##0\);_(* &quot;-&quot;?_);@_)"/>
    <numFmt numFmtId="166" formatCode="0.0%"/>
    <numFmt numFmtId="167" formatCode="_(* #,##0_);_(* \(#,##0\);_(* &quot;-&quot;??_);_(@_)"/>
    <numFmt numFmtId="168" formatCode="_-* #,##0.00_-;\-* #,##0.00_-;_-* &quot;-&quot;??_-;_-@_-"/>
    <numFmt numFmtId="169" formatCode="_-* #,##0_-;\(#,##0\)_-;_-* &quot;-&quot;_-;_-@_-"/>
    <numFmt numFmtId="170" formatCode="_ [$₹-4009]\ * #,##0.00_ ;_ [$₹-4009]\ * \-#,##0.00_ ;_ [$₹-4009]\ * &quot;-&quot;??_ ;_ @_ "/>
    <numFmt numFmtId="171" formatCode="[$₹-439]#,##0.00"/>
    <numFmt numFmtId="172" formatCode="0.0"/>
    <numFmt numFmtId="173" formatCode="_ * #,##0.0_ ;_ * \-#,##0.0_ ;_ * &quot;-&quot;??_ ;_ @_ "/>
    <numFmt numFmtId="174" formatCode="0.00&quot;x&quot;"/>
    <numFmt numFmtId="175" formatCode="0.00\%"/>
  </numFmts>
  <fonts count="16"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0"/>
      <name val="Times New Roman"/>
      <family val="1"/>
    </font>
    <font>
      <b/>
      <sz val="12"/>
      <color theme="1"/>
      <name val="Times New Roman"/>
      <family val="1"/>
    </font>
    <font>
      <sz val="12"/>
      <color theme="1"/>
      <name val="Times New Roman"/>
      <family val="1"/>
    </font>
    <font>
      <u/>
      <sz val="12"/>
      <color theme="10"/>
      <name val="Times New Roman"/>
      <family val="1"/>
    </font>
    <font>
      <b/>
      <sz val="12"/>
      <name val="Times New Roman"/>
      <family val="1"/>
    </font>
    <font>
      <b/>
      <sz val="12"/>
      <color theme="4" tint="-0.499984740745262"/>
      <name val="Times New Roman"/>
      <family val="1"/>
    </font>
    <font>
      <b/>
      <sz val="11"/>
      <color theme="3"/>
      <name val="Calibri"/>
      <family val="2"/>
      <scheme val="minor"/>
    </font>
    <font>
      <b/>
      <sz val="12"/>
      <color theme="3"/>
      <name val="Times New Roman"/>
      <family val="1"/>
    </font>
    <font>
      <u/>
      <sz val="12"/>
      <color rgb="FF7030A0"/>
      <name val="Times New Roman"/>
      <family val="1"/>
    </font>
    <font>
      <b/>
      <sz val="12"/>
      <color theme="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s>
  <borders count="3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top style="thin">
        <color theme="0"/>
      </top>
      <bottom style="thin">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theme="0"/>
      </bottom>
      <diagonal/>
    </border>
    <border>
      <left/>
      <right style="thin">
        <color theme="0"/>
      </right>
      <top style="thin">
        <color indexed="64"/>
      </top>
      <bottom style="thin">
        <color theme="0"/>
      </bottom>
      <diagonal/>
    </border>
    <border>
      <left style="thin">
        <color auto="1"/>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style="thin">
        <color theme="0"/>
      </bottom>
      <diagonal/>
    </border>
    <border>
      <left style="thin">
        <color auto="1"/>
      </left>
      <right style="thin">
        <color theme="0"/>
      </right>
      <top/>
      <bottom style="thin">
        <color theme="0"/>
      </bottom>
      <diagonal/>
    </border>
    <border>
      <left style="thin">
        <color theme="0"/>
      </left>
      <right style="thin">
        <color theme="0"/>
      </right>
      <top/>
      <bottom style="thin">
        <color theme="0"/>
      </bottom>
      <diagonal/>
    </border>
    <border>
      <left style="thin">
        <color auto="1"/>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auto="1"/>
      </left>
      <right style="thin">
        <color theme="0"/>
      </right>
      <top style="thin">
        <color auto="1"/>
      </top>
      <bottom/>
      <diagonal/>
    </border>
    <border>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style="medium">
        <color rgb="FFCCCCCC"/>
      </left>
      <right style="medium">
        <color rgb="FFCCCCCC"/>
      </right>
      <top style="medium">
        <color rgb="FFCCCCCC"/>
      </top>
      <bottom style="medium">
        <color rgb="FFCCCCCC"/>
      </bottom>
      <diagonal/>
    </border>
    <border>
      <left/>
      <right/>
      <top/>
      <bottom style="medium">
        <color theme="4" tint="0.39997558519241921"/>
      </bottom>
      <diagonal/>
    </border>
  </borders>
  <cellStyleXfs count="6">
    <xf numFmtId="0" fontId="0" fillId="0" borderId="0"/>
    <xf numFmtId="9" fontId="1" fillId="0" borderId="0" applyFont="0" applyFill="0" applyBorder="0" applyAlignment="0" applyProtection="0"/>
    <xf numFmtId="0" fontId="5" fillId="0" borderId="0" applyNumberForma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0" fontId="12" fillId="0" borderId="34" applyNumberFormat="0" applyFill="0" applyAlignment="0" applyProtection="0"/>
  </cellStyleXfs>
  <cellXfs count="210">
    <xf numFmtId="0" fontId="0" fillId="0" borderId="0" xfId="0"/>
    <xf numFmtId="10" fontId="0" fillId="0" borderId="0" xfId="0" applyNumberFormat="1"/>
    <xf numFmtId="0" fontId="2" fillId="0" borderId="3" xfId="0" applyFont="1" applyBorder="1" applyAlignment="1">
      <alignment horizontal="center" vertical="center"/>
    </xf>
    <xf numFmtId="0" fontId="3" fillId="0" borderId="3" xfId="0" applyFont="1" applyBorder="1"/>
    <xf numFmtId="4" fontId="3" fillId="0" borderId="3" xfId="0" applyNumberFormat="1" applyFont="1" applyBorder="1"/>
    <xf numFmtId="0" fontId="0" fillId="0" borderId="3" xfId="0" applyBorder="1"/>
    <xf numFmtId="0" fontId="0" fillId="0" borderId="4" xfId="0" applyBorder="1"/>
    <xf numFmtId="0" fontId="3" fillId="0" borderId="4" xfId="0" applyFont="1" applyBorder="1"/>
    <xf numFmtId="0" fontId="4" fillId="0" borderId="0" xfId="0" applyFont="1"/>
    <xf numFmtId="0" fontId="0" fillId="0" borderId="0" xfId="0" pivotButton="1"/>
    <xf numFmtId="0" fontId="0" fillId="0" borderId="0" xfId="0" applyAlignment="1">
      <alignment horizontal="left"/>
    </xf>
    <xf numFmtId="9" fontId="0" fillId="0" borderId="0" xfId="0" applyNumberFormat="1"/>
    <xf numFmtId="0" fontId="5" fillId="0" borderId="0" xfId="2"/>
    <xf numFmtId="0" fontId="7" fillId="0" borderId="0" xfId="0" applyFont="1" applyAlignment="1">
      <alignment horizontal="right"/>
    </xf>
    <xf numFmtId="0" fontId="8" fillId="0" borderId="0" xfId="0" applyFont="1"/>
    <xf numFmtId="0" fontId="9" fillId="0" borderId="0" xfId="2" applyFont="1"/>
    <xf numFmtId="0" fontId="10" fillId="0" borderId="10" xfId="0" applyFont="1" applyBorder="1"/>
    <xf numFmtId="0" fontId="10" fillId="0" borderId="11" xfId="0" applyFont="1" applyBorder="1"/>
    <xf numFmtId="0" fontId="8" fillId="0" borderId="13" xfId="0" applyFont="1" applyBorder="1"/>
    <xf numFmtId="0" fontId="8" fillId="0" borderId="14" xfId="0" applyFont="1" applyBorder="1"/>
    <xf numFmtId="164" fontId="11" fillId="2" borderId="0" xfId="0" applyNumberFormat="1" applyFont="1" applyFill="1"/>
    <xf numFmtId="0" fontId="8" fillId="2" borderId="0" xfId="0" applyFont="1" applyFill="1"/>
    <xf numFmtId="4" fontId="8" fillId="0" borderId="0" xfId="0" applyNumberFormat="1" applyFont="1" applyAlignment="1">
      <alignment horizontal="right"/>
    </xf>
    <xf numFmtId="10" fontId="8" fillId="0" borderId="0" xfId="0" applyNumberFormat="1" applyFont="1"/>
    <xf numFmtId="164" fontId="8" fillId="2" borderId="0" xfId="0" applyNumberFormat="1" applyFont="1" applyFill="1"/>
    <xf numFmtId="43" fontId="8" fillId="2" borderId="0" xfId="3" applyFont="1" applyFill="1"/>
    <xf numFmtId="165" fontId="8" fillId="2" borderId="0" xfId="0" applyNumberFormat="1" applyFont="1" applyFill="1"/>
    <xf numFmtId="0" fontId="7" fillId="2" borderId="0" xfId="0" applyFont="1" applyFill="1" applyAlignment="1">
      <alignment vertical="center" wrapText="1"/>
    </xf>
    <xf numFmtId="43" fontId="8" fillId="0" borderId="0" xfId="0" applyNumberFormat="1" applyFont="1"/>
    <xf numFmtId="164" fontId="7" fillId="2" borderId="0" xfId="0" applyNumberFormat="1" applyFont="1" applyFill="1"/>
    <xf numFmtId="0" fontId="6" fillId="6" borderId="0" xfId="0" applyFont="1" applyFill="1"/>
    <xf numFmtId="0" fontId="10" fillId="7" borderId="9" xfId="0" applyFont="1" applyFill="1" applyBorder="1"/>
    <xf numFmtId="0" fontId="10" fillId="5" borderId="0" xfId="0" applyFont="1" applyFill="1"/>
    <xf numFmtId="0" fontId="10" fillId="5" borderId="8" xfId="0" applyFont="1" applyFill="1" applyBorder="1"/>
    <xf numFmtId="0" fontId="8" fillId="5" borderId="7" xfId="0" applyFont="1" applyFill="1" applyBorder="1"/>
    <xf numFmtId="0" fontId="8" fillId="5" borderId="5" xfId="0" applyFont="1" applyFill="1" applyBorder="1"/>
    <xf numFmtId="164" fontId="6" fillId="6" borderId="7" xfId="0" applyNumberFormat="1" applyFont="1" applyFill="1" applyBorder="1"/>
    <xf numFmtId="0" fontId="7" fillId="5" borderId="0" xfId="0" applyFont="1" applyFill="1"/>
    <xf numFmtId="0" fontId="7"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6" fillId="6" borderId="0" xfId="0" applyFont="1" applyFill="1" applyAlignment="1">
      <alignment horizontal="center"/>
    </xf>
    <xf numFmtId="43" fontId="6" fillId="6" borderId="0" xfId="3" applyFont="1" applyFill="1" applyBorder="1" applyAlignment="1">
      <alignment horizontal="center"/>
    </xf>
    <xf numFmtId="43" fontId="6" fillId="6" borderId="8" xfId="3" applyFont="1" applyFill="1" applyBorder="1" applyAlignment="1">
      <alignment horizontal="center"/>
    </xf>
    <xf numFmtId="0" fontId="7" fillId="7" borderId="12" xfId="0" applyFont="1" applyFill="1" applyBorder="1"/>
    <xf numFmtId="0" fontId="12" fillId="5" borderId="34" xfId="5" applyFill="1"/>
    <xf numFmtId="164" fontId="11" fillId="9" borderId="0" xfId="0" applyNumberFormat="1" applyFont="1" applyFill="1"/>
    <xf numFmtId="0" fontId="12" fillId="5" borderId="34" xfId="5" applyFill="1" applyAlignment="1">
      <alignment horizontal="center" vertical="center"/>
    </xf>
    <xf numFmtId="175" fontId="12" fillId="5" borderId="34" xfId="5" applyNumberFormat="1" applyFill="1" applyAlignment="1">
      <alignment horizontal="center" vertical="center"/>
    </xf>
    <xf numFmtId="2" fontId="12" fillId="5" borderId="34" xfId="5" applyNumberFormat="1" applyFill="1" applyAlignment="1">
      <alignment horizontal="center" vertical="center"/>
    </xf>
    <xf numFmtId="0" fontId="12" fillId="4" borderId="34" xfId="5" applyFill="1" applyAlignment="1">
      <alignment horizontal="center" vertical="center"/>
    </xf>
    <xf numFmtId="0" fontId="12" fillId="4" borderId="34" xfId="5" applyFill="1"/>
    <xf numFmtId="175" fontId="12" fillId="4" borderId="34" xfId="5" applyNumberFormat="1" applyFill="1" applyAlignment="1">
      <alignment horizontal="center" vertical="center"/>
    </xf>
    <xf numFmtId="2" fontId="12" fillId="4" borderId="34" xfId="5" applyNumberFormat="1" applyFill="1" applyAlignment="1">
      <alignment horizontal="center" vertical="center"/>
    </xf>
    <xf numFmtId="0" fontId="13" fillId="6" borderId="34" xfId="5" applyFont="1" applyFill="1" applyAlignment="1">
      <alignment wrapText="1"/>
    </xf>
    <xf numFmtId="0" fontId="13" fillId="6" borderId="34" xfId="5" applyFont="1" applyFill="1" applyAlignment="1">
      <alignment horizontal="right" wrapText="1"/>
    </xf>
    <xf numFmtId="0" fontId="13" fillId="6" borderId="34" xfId="5" applyFont="1" applyFill="1" applyAlignment="1">
      <alignment horizontal="center" wrapText="1"/>
    </xf>
    <xf numFmtId="0" fontId="8" fillId="0" borderId="0" xfId="0" applyFont="1" applyAlignment="1">
      <alignment wrapText="1"/>
    </xf>
    <xf numFmtId="0" fontId="13" fillId="7" borderId="34" xfId="5" applyFont="1" applyFill="1"/>
    <xf numFmtId="4" fontId="13" fillId="0" borderId="34" xfId="5" applyNumberFormat="1" applyFont="1" applyAlignment="1">
      <alignment horizontal="right"/>
    </xf>
    <xf numFmtId="43" fontId="13" fillId="5" borderId="34" xfId="5" applyNumberFormat="1" applyFont="1" applyFill="1"/>
    <xf numFmtId="0" fontId="13" fillId="7" borderId="34" xfId="5" applyFont="1" applyFill="1" applyAlignment="1">
      <alignment horizontal="right"/>
    </xf>
    <xf numFmtId="0" fontId="13" fillId="0" borderId="34" xfId="5" applyFont="1" applyAlignment="1">
      <alignment horizontal="right"/>
    </xf>
    <xf numFmtId="43" fontId="13" fillId="0" borderId="34" xfId="5" applyNumberFormat="1" applyFont="1" applyFill="1"/>
    <xf numFmtId="164" fontId="13" fillId="7" borderId="34" xfId="5" applyNumberFormat="1" applyFont="1" applyFill="1"/>
    <xf numFmtId="10" fontId="13" fillId="0" borderId="34" xfId="5" applyNumberFormat="1" applyFont="1"/>
    <xf numFmtId="10" fontId="13" fillId="5" borderId="34" xfId="5" applyNumberFormat="1" applyFont="1" applyFill="1"/>
    <xf numFmtId="164" fontId="13" fillId="8" borderId="34" xfId="5" applyNumberFormat="1" applyFont="1" applyFill="1"/>
    <xf numFmtId="43" fontId="13" fillId="8" borderId="34" xfId="5" applyNumberFormat="1" applyFont="1" applyFill="1"/>
    <xf numFmtId="9" fontId="13" fillId="0" borderId="34" xfId="5" applyNumberFormat="1" applyFont="1"/>
    <xf numFmtId="9" fontId="13" fillId="5" borderId="34" xfId="5" applyNumberFormat="1" applyFont="1" applyFill="1"/>
    <xf numFmtId="164" fontId="13" fillId="6" borderId="34" xfId="5" applyNumberFormat="1" applyFont="1" applyFill="1"/>
    <xf numFmtId="43" fontId="13" fillId="2" borderId="34" xfId="5" applyNumberFormat="1" applyFont="1" applyFill="1"/>
    <xf numFmtId="43" fontId="13" fillId="0" borderId="34" xfId="5" applyNumberFormat="1" applyFont="1" applyFill="1" applyAlignment="1">
      <alignment horizontal="right" wrapText="1"/>
    </xf>
    <xf numFmtId="43" fontId="13" fillId="5" borderId="34" xfId="5" applyNumberFormat="1" applyFont="1" applyFill="1" applyAlignment="1">
      <alignment horizontal="right" wrapText="1"/>
    </xf>
    <xf numFmtId="0" fontId="13" fillId="2" borderId="34" xfId="5" applyFont="1" applyFill="1"/>
    <xf numFmtId="165" fontId="13" fillId="0" borderId="34" xfId="5" applyNumberFormat="1" applyFont="1"/>
    <xf numFmtId="164" fontId="13" fillId="2" borderId="34" xfId="5" applyNumberFormat="1" applyFont="1" applyFill="1"/>
    <xf numFmtId="165" fontId="13" fillId="2" borderId="34" xfId="5" applyNumberFormat="1" applyFont="1" applyFill="1"/>
    <xf numFmtId="165" fontId="13" fillId="7" borderId="34" xfId="5" applyNumberFormat="1" applyFont="1" applyFill="1"/>
    <xf numFmtId="43" fontId="13" fillId="6" borderId="34" xfId="5" applyNumberFormat="1" applyFont="1" applyFill="1"/>
    <xf numFmtId="164" fontId="13" fillId="5" borderId="34" xfId="5" applyNumberFormat="1" applyFont="1" applyFill="1"/>
    <xf numFmtId="0" fontId="13" fillId="5" borderId="34" xfId="5" applyFont="1" applyFill="1"/>
    <xf numFmtId="0" fontId="9" fillId="2" borderId="0" xfId="2" applyFont="1" applyFill="1"/>
    <xf numFmtId="0" fontId="8" fillId="0" borderId="0" xfId="0" quotePrefix="1" applyFont="1"/>
    <xf numFmtId="9" fontId="8" fillId="2" borderId="0" xfId="1" applyFont="1" applyFill="1"/>
    <xf numFmtId="164" fontId="6" fillId="6" borderId="0" xfId="0" applyNumberFormat="1" applyFont="1" applyFill="1" applyAlignment="1">
      <alignment horizontal="right"/>
    </xf>
    <xf numFmtId="0" fontId="8" fillId="3" borderId="0" xfId="0" applyFont="1" applyFill="1" applyAlignment="1">
      <alignment wrapText="1"/>
    </xf>
    <xf numFmtId="10" fontId="13" fillId="2" borderId="34" xfId="5" applyNumberFormat="1" applyFont="1" applyFill="1" applyAlignment="1">
      <alignment horizontal="right"/>
    </xf>
    <xf numFmtId="10" fontId="13" fillId="2" borderId="34" xfId="5" applyNumberFormat="1" applyFont="1" applyFill="1"/>
    <xf numFmtId="10" fontId="8" fillId="2" borderId="0" xfId="0" applyNumberFormat="1" applyFont="1" applyFill="1"/>
    <xf numFmtId="165" fontId="13" fillId="5" borderId="34" xfId="5" applyNumberFormat="1" applyFont="1" applyFill="1"/>
    <xf numFmtId="43" fontId="13" fillId="5" borderId="34" xfId="5" applyNumberFormat="1" applyFont="1" applyFill="1" applyAlignment="1">
      <alignment horizontal="center" vertical="center"/>
    </xf>
    <xf numFmtId="167" fontId="13" fillId="5" borderId="34" xfId="5" applyNumberFormat="1" applyFont="1" applyFill="1"/>
    <xf numFmtId="10" fontId="8" fillId="2" borderId="0" xfId="1" applyNumberFormat="1" applyFont="1" applyFill="1" applyBorder="1"/>
    <xf numFmtId="43" fontId="8" fillId="2" borderId="0" xfId="3" applyFont="1" applyFill="1" applyBorder="1"/>
    <xf numFmtId="166" fontId="13" fillId="5" borderId="34" xfId="5" applyNumberFormat="1" applyFont="1" applyFill="1"/>
    <xf numFmtId="166" fontId="13" fillId="2" borderId="34" xfId="5" applyNumberFormat="1" applyFont="1" applyFill="1"/>
    <xf numFmtId="0" fontId="13" fillId="6" borderId="34" xfId="5" applyFont="1" applyFill="1"/>
    <xf numFmtId="0" fontId="13" fillId="0" borderId="34" xfId="5" applyFont="1" applyAlignment="1">
      <alignment wrapText="1"/>
    </xf>
    <xf numFmtId="0" fontId="13" fillId="0" borderId="34" xfId="5" applyFont="1" applyAlignment="1">
      <alignment vertical="center" wrapText="1"/>
    </xf>
    <xf numFmtId="43" fontId="13" fillId="7" borderId="34" xfId="5" applyNumberFormat="1" applyFont="1" applyFill="1" applyAlignment="1">
      <alignment vertical="center"/>
    </xf>
    <xf numFmtId="0" fontId="13" fillId="5" borderId="34" xfId="5" applyFont="1" applyFill="1" applyAlignment="1">
      <alignment vertical="top" wrapText="1"/>
    </xf>
    <xf numFmtId="10" fontId="13" fillId="7" borderId="34" xfId="5" applyNumberFormat="1" applyFont="1" applyFill="1" applyAlignment="1">
      <alignment vertical="center"/>
    </xf>
    <xf numFmtId="0" fontId="13" fillId="5" borderId="34" xfId="5" quotePrefix="1" applyFont="1" applyFill="1" applyAlignment="1">
      <alignment vertical="top" wrapText="1"/>
    </xf>
    <xf numFmtId="43" fontId="13" fillId="7" borderId="34" xfId="5" applyNumberFormat="1" applyFont="1" applyFill="1" applyAlignment="1">
      <alignment horizontal="right" vertical="center"/>
    </xf>
    <xf numFmtId="0" fontId="13" fillId="0" borderId="34" xfId="5" applyFont="1" applyAlignment="1">
      <alignment vertical="center"/>
    </xf>
    <xf numFmtId="43" fontId="13" fillId="7" borderId="34" xfId="5" applyNumberFormat="1" applyFont="1" applyFill="1" applyAlignment="1">
      <alignment horizontal="center" vertical="center"/>
    </xf>
    <xf numFmtId="0" fontId="13" fillId="5" borderId="34" xfId="5" applyFont="1" applyFill="1" applyAlignment="1">
      <alignment wrapText="1"/>
    </xf>
    <xf numFmtId="0" fontId="6" fillId="6" borderId="17" xfId="0" applyFont="1" applyFill="1" applyBorder="1"/>
    <xf numFmtId="43" fontId="6" fillId="6" borderId="0" xfId="0" applyNumberFormat="1" applyFont="1" applyFill="1" applyAlignment="1">
      <alignment horizontal="center"/>
    </xf>
    <xf numFmtId="0" fontId="9" fillId="0" borderId="18" xfId="2" quotePrefix="1" applyFont="1" applyBorder="1"/>
    <xf numFmtId="0" fontId="8" fillId="0" borderId="10" xfId="0" applyFont="1" applyBorder="1"/>
    <xf numFmtId="0" fontId="8" fillId="0" borderId="19" xfId="0" applyFont="1" applyBorder="1"/>
    <xf numFmtId="0" fontId="8" fillId="0" borderId="20" xfId="0" applyFont="1" applyBorder="1"/>
    <xf numFmtId="0" fontId="8" fillId="0" borderId="16" xfId="0" applyFont="1" applyBorder="1"/>
    <xf numFmtId="0" fontId="8" fillId="0" borderId="21" xfId="0" applyFont="1" applyBorder="1"/>
    <xf numFmtId="4" fontId="13" fillId="0" borderId="34" xfId="5" applyNumberFormat="1" applyFont="1" applyFill="1" applyAlignment="1">
      <alignment horizontal="right" wrapText="1"/>
    </xf>
    <xf numFmtId="4" fontId="13" fillId="5" borderId="34" xfId="5" applyNumberFormat="1" applyFont="1" applyFill="1" applyAlignment="1">
      <alignment horizontal="right" wrapText="1"/>
    </xf>
    <xf numFmtId="0" fontId="13" fillId="0" borderId="34" xfId="5" applyFont="1"/>
    <xf numFmtId="43" fontId="13" fillId="0" borderId="34" xfId="5" applyNumberFormat="1" applyFont="1"/>
    <xf numFmtId="9" fontId="13" fillId="2" borderId="34" xfId="5" applyNumberFormat="1" applyFont="1" applyFill="1"/>
    <xf numFmtId="0" fontId="8" fillId="0" borderId="22" xfId="0" applyFont="1" applyBorder="1"/>
    <xf numFmtId="0" fontId="8" fillId="0" borderId="23" xfId="0" applyFont="1" applyBorder="1"/>
    <xf numFmtId="0" fontId="8" fillId="0" borderId="24" xfId="0" applyFont="1" applyBorder="1"/>
    <xf numFmtId="43" fontId="8" fillId="0" borderId="16" xfId="0" applyNumberFormat="1" applyFont="1" applyBorder="1"/>
    <xf numFmtId="9" fontId="8" fillId="0" borderId="16" xfId="1" applyFont="1" applyBorder="1"/>
    <xf numFmtId="0" fontId="6" fillId="6" borderId="30" xfId="0" applyFont="1" applyFill="1" applyBorder="1" applyAlignment="1">
      <alignment horizontal="center"/>
    </xf>
    <xf numFmtId="0" fontId="14" fillId="0" borderId="0" xfId="2" applyFont="1"/>
    <xf numFmtId="0" fontId="15" fillId="6" borderId="34" xfId="5" applyFont="1" applyFill="1" applyAlignment="1">
      <alignment horizontal="center"/>
    </xf>
    <xf numFmtId="0" fontId="7" fillId="0" borderId="25" xfId="0" applyFont="1" applyBorder="1"/>
    <xf numFmtId="0" fontId="8" fillId="0" borderId="25" xfId="0" applyFont="1" applyBorder="1"/>
    <xf numFmtId="0" fontId="15" fillId="5" borderId="34" xfId="5" applyFont="1" applyFill="1"/>
    <xf numFmtId="0" fontId="15" fillId="5" borderId="34" xfId="5" applyFont="1" applyFill="1" applyAlignment="1">
      <alignment horizontal="center"/>
    </xf>
    <xf numFmtId="14" fontId="15" fillId="0" borderId="34" xfId="5" applyNumberFormat="1" applyFont="1" applyAlignment="1">
      <alignment wrapText="1"/>
    </xf>
    <xf numFmtId="4" fontId="15" fillId="0" borderId="34" xfId="5" applyNumberFormat="1" applyFont="1" applyAlignment="1">
      <alignment horizontal="right" wrapText="1"/>
    </xf>
    <xf numFmtId="15" fontId="15" fillId="0" borderId="34" xfId="5" applyNumberFormat="1" applyFont="1" applyAlignment="1">
      <alignment horizontal="right" wrapText="1"/>
    </xf>
    <xf numFmtId="0" fontId="15" fillId="0" borderId="34" xfId="5" applyFont="1" applyAlignment="1">
      <alignment horizontal="right" wrapText="1"/>
    </xf>
    <xf numFmtId="43" fontId="15" fillId="5" borderId="34" xfId="5" applyNumberFormat="1" applyFont="1" applyFill="1"/>
    <xf numFmtId="2" fontId="15" fillId="5" borderId="34" xfId="5" applyNumberFormat="1" applyFont="1" applyFill="1"/>
    <xf numFmtId="14" fontId="15" fillId="0" borderId="34" xfId="5" applyNumberFormat="1" applyFont="1" applyAlignment="1">
      <alignment horizontal="right" wrapText="1"/>
    </xf>
    <xf numFmtId="0" fontId="15" fillId="8" borderId="34" xfId="5" applyFont="1" applyFill="1"/>
    <xf numFmtId="0" fontId="15" fillId="6" borderId="34" xfId="5" applyFont="1" applyFill="1"/>
    <xf numFmtId="0" fontId="15" fillId="6" borderId="34" xfId="5" applyFont="1" applyFill="1" applyAlignment="1">
      <alignment horizontal="right"/>
    </xf>
    <xf numFmtId="9" fontId="15" fillId="5" borderId="34" xfId="5" applyNumberFormat="1" applyFont="1" applyFill="1"/>
    <xf numFmtId="0" fontId="15" fillId="0" borderId="34" xfId="5" applyFont="1"/>
    <xf numFmtId="0" fontId="8" fillId="0" borderId="33" xfId="0" applyFont="1" applyBorder="1" applyAlignment="1">
      <alignment wrapText="1"/>
    </xf>
    <xf numFmtId="0" fontId="13" fillId="6" borderId="34" xfId="5" applyFont="1" applyFill="1" applyAlignment="1">
      <alignment horizontal="center"/>
    </xf>
    <xf numFmtId="43" fontId="13" fillId="8" borderId="34" xfId="5" applyNumberFormat="1" applyFont="1" applyFill="1" applyAlignment="1">
      <alignment horizontal="left"/>
    </xf>
    <xf numFmtId="10" fontId="13" fillId="5" borderId="34" xfId="5" applyNumberFormat="1" applyFont="1" applyFill="1" applyAlignment="1">
      <alignment horizontal="center" vertical="center"/>
    </xf>
    <xf numFmtId="10" fontId="13" fillId="2" borderId="34" xfId="5" applyNumberFormat="1" applyFont="1" applyFill="1" applyAlignment="1">
      <alignment horizontal="center" vertical="center"/>
    </xf>
    <xf numFmtId="10" fontId="13" fillId="2" borderId="34" xfId="5" applyNumberFormat="1" applyFont="1" applyFill="1" applyAlignment="1">
      <alignment horizontal="center"/>
    </xf>
    <xf numFmtId="10" fontId="13" fillId="8" borderId="34" xfId="5" applyNumberFormat="1" applyFont="1" applyFill="1"/>
    <xf numFmtId="10" fontId="13" fillId="5" borderId="34" xfId="5" applyNumberFormat="1" applyFont="1" applyFill="1" applyAlignment="1">
      <alignment horizontal="center"/>
    </xf>
    <xf numFmtId="10" fontId="13" fillId="5" borderId="34" xfId="5" applyNumberFormat="1" applyFont="1" applyFill="1" applyAlignment="1">
      <alignment horizontal="left"/>
    </xf>
    <xf numFmtId="10" fontId="13" fillId="8" borderId="34" xfId="5" applyNumberFormat="1" applyFont="1" applyFill="1" applyAlignment="1">
      <alignment horizontal="center"/>
    </xf>
    <xf numFmtId="169" fontId="13" fillId="6" borderId="34" xfId="5" applyNumberFormat="1" applyFont="1" applyFill="1" applyAlignment="1">
      <alignment horizontal="center"/>
    </xf>
    <xf numFmtId="169" fontId="13" fillId="5" borderId="34" xfId="5" applyNumberFormat="1" applyFont="1" applyFill="1"/>
    <xf numFmtId="10" fontId="13" fillId="0" borderId="34" xfId="5" applyNumberFormat="1" applyFont="1" applyAlignment="1">
      <alignment horizontal="right"/>
    </xf>
    <xf numFmtId="14" fontId="13" fillId="0" borderId="34" xfId="5" applyNumberFormat="1" applyFont="1"/>
    <xf numFmtId="14" fontId="13" fillId="0" borderId="34" xfId="5" applyNumberFormat="1" applyFont="1" applyFill="1"/>
    <xf numFmtId="170" fontId="13" fillId="0" borderId="34" xfId="5" applyNumberFormat="1" applyFont="1" applyAlignment="1">
      <alignment horizontal="right"/>
    </xf>
    <xf numFmtId="43" fontId="13" fillId="0" borderId="34" xfId="5" applyNumberFormat="1" applyFont="1" applyAlignment="1">
      <alignment horizontal="right"/>
    </xf>
    <xf numFmtId="44" fontId="13" fillId="0" borderId="34" xfId="5" applyNumberFormat="1" applyFont="1" applyAlignment="1">
      <alignment horizontal="right"/>
    </xf>
    <xf numFmtId="0" fontId="13" fillId="6" borderId="34" xfId="5" applyFont="1" applyFill="1" applyAlignment="1">
      <alignment horizontal="left" wrapText="1"/>
    </xf>
    <xf numFmtId="0" fontId="13" fillId="5" borderId="34" xfId="5" applyFont="1" applyFill="1" applyAlignment="1">
      <alignment horizontal="left"/>
    </xf>
    <xf numFmtId="43" fontId="13" fillId="0" borderId="34" xfId="5" applyNumberFormat="1" applyFont="1" applyFill="1" applyAlignment="1">
      <alignment horizontal="right"/>
    </xf>
    <xf numFmtId="44" fontId="13" fillId="0" borderId="34" xfId="5" applyNumberFormat="1" applyFont="1" applyFill="1"/>
    <xf numFmtId="10" fontId="13" fillId="0" borderId="34" xfId="5" applyNumberFormat="1" applyFont="1" applyFill="1"/>
    <xf numFmtId="44" fontId="13" fillId="8" borderId="34" xfId="5" applyNumberFormat="1" applyFont="1" applyFill="1"/>
    <xf numFmtId="44" fontId="8" fillId="0" borderId="0" xfId="0" applyNumberFormat="1" applyFont="1"/>
    <xf numFmtId="2" fontId="13" fillId="0" borderId="34" xfId="5" applyNumberFormat="1" applyFont="1" applyFill="1" applyAlignment="1">
      <alignment horizontal="right"/>
    </xf>
    <xf numFmtId="44" fontId="13" fillId="8" borderId="34" xfId="5" applyNumberFormat="1" applyFont="1" applyFill="1" applyAlignment="1">
      <alignment horizontal="right"/>
    </xf>
    <xf numFmtId="171" fontId="13" fillId="0" borderId="34" xfId="5" applyNumberFormat="1" applyFont="1" applyAlignment="1">
      <alignment horizontal="center"/>
    </xf>
    <xf numFmtId="0" fontId="13" fillId="8" borderId="34" xfId="5" applyFont="1" applyFill="1"/>
    <xf numFmtId="0" fontId="13" fillId="8" borderId="34" xfId="5" applyFont="1" applyFill="1" applyAlignment="1">
      <alignment horizontal="center"/>
    </xf>
    <xf numFmtId="0" fontId="13" fillId="8" borderId="34" xfId="5" applyFont="1" applyFill="1" applyAlignment="1">
      <alignment horizontal="center"/>
    </xf>
    <xf numFmtId="171" fontId="13" fillId="8" borderId="34" xfId="5" applyNumberFormat="1" applyFont="1" applyFill="1" applyAlignment="1">
      <alignment horizontal="center"/>
    </xf>
    <xf numFmtId="9" fontId="13" fillId="0" borderId="34" xfId="5" applyNumberFormat="1" applyFont="1" applyFill="1" applyAlignment="1">
      <alignment horizontal="center"/>
    </xf>
    <xf numFmtId="0" fontId="13" fillId="8" borderId="34" xfId="5" applyFont="1" applyFill="1" applyAlignment="1">
      <alignment horizontal="center" textRotation="255"/>
    </xf>
    <xf numFmtId="9" fontId="13" fillId="8" borderId="34" xfId="5" applyNumberFormat="1" applyFont="1" applyFill="1" applyAlignment="1">
      <alignment horizontal="center"/>
    </xf>
    <xf numFmtId="0" fontId="6" fillId="6" borderId="7" xfId="0" applyFont="1" applyFill="1" applyBorder="1" applyAlignment="1">
      <alignment horizontal="center"/>
    </xf>
    <xf numFmtId="0" fontId="8" fillId="0" borderId="29" xfId="0" applyFont="1" applyBorder="1"/>
    <xf numFmtId="0" fontId="8" fillId="0" borderId="31" xfId="0" applyFont="1" applyBorder="1"/>
    <xf numFmtId="0" fontId="8" fillId="0" borderId="32" xfId="0" applyFont="1" applyBorder="1"/>
    <xf numFmtId="0" fontId="13" fillId="8" borderId="34" xfId="5" applyFont="1" applyFill="1" applyAlignment="1">
      <alignment vertical="top"/>
    </xf>
    <xf numFmtId="171" fontId="13" fillId="5" borderId="34" xfId="5" applyNumberFormat="1" applyFont="1" applyFill="1" applyAlignment="1">
      <alignment horizontal="center"/>
    </xf>
    <xf numFmtId="174" fontId="13" fillId="5" borderId="34" xfId="5" applyNumberFormat="1" applyFont="1" applyFill="1" applyAlignment="1">
      <alignment horizontal="center"/>
    </xf>
    <xf numFmtId="0" fontId="13" fillId="8" borderId="34" xfId="5" applyFont="1" applyFill="1" applyAlignment="1">
      <alignment horizontal="left"/>
    </xf>
    <xf numFmtId="172" fontId="13" fillId="0" borderId="34" xfId="5" applyNumberFormat="1" applyFont="1"/>
    <xf numFmtId="172" fontId="13" fillId="5" borderId="34" xfId="5" applyNumberFormat="1" applyFont="1" applyFill="1"/>
    <xf numFmtId="173" fontId="13" fillId="0" borderId="34" xfId="5" applyNumberFormat="1" applyFont="1"/>
    <xf numFmtId="173" fontId="13" fillId="5" borderId="34" xfId="5" applyNumberFormat="1" applyFont="1" applyFill="1"/>
    <xf numFmtId="0" fontId="13" fillId="6" borderId="34" xfId="5" applyFont="1" applyFill="1" applyAlignment="1">
      <alignment horizontal="left"/>
    </xf>
    <xf numFmtId="2" fontId="13" fillId="5" borderId="34" xfId="5" applyNumberFormat="1" applyFont="1" applyFill="1"/>
    <xf numFmtId="0" fontId="6" fillId="0" borderId="0" xfId="0" applyFont="1" applyAlignment="1">
      <alignment horizontal="right" wrapText="1"/>
    </xf>
    <xf numFmtId="0" fontId="0" fillId="0" borderId="0" xfId="0" applyNumberFormat="1"/>
    <xf numFmtId="175" fontId="0" fillId="0" borderId="0" xfId="0" applyNumberFormat="1"/>
    <xf numFmtId="2" fontId="0" fillId="0" borderId="0" xfId="0" applyNumberFormat="1"/>
    <xf numFmtId="0" fontId="0" fillId="5" borderId="26" xfId="0" applyFill="1" applyBorder="1"/>
    <xf numFmtId="0" fontId="0" fillId="5" borderId="15" xfId="0" applyFill="1" applyBorder="1"/>
    <xf numFmtId="0" fontId="0" fillId="5" borderId="6" xfId="0" applyFill="1" applyBorder="1"/>
    <xf numFmtId="0" fontId="0" fillId="5" borderId="27" xfId="0" applyFill="1" applyBorder="1"/>
    <xf numFmtId="0" fontId="0" fillId="5" borderId="0" xfId="0" applyFill="1" applyBorder="1"/>
    <xf numFmtId="0" fontId="7" fillId="5" borderId="0" xfId="0" applyFont="1" applyFill="1" applyBorder="1" applyAlignment="1">
      <alignment horizontal="center"/>
    </xf>
    <xf numFmtId="0" fontId="0" fillId="5" borderId="0" xfId="0" applyFill="1" applyBorder="1" applyAlignment="1">
      <alignment horizontal="center"/>
    </xf>
    <xf numFmtId="0" fontId="0" fillId="5" borderId="8" xfId="0" applyFill="1" applyBorder="1"/>
    <xf numFmtId="0" fontId="0" fillId="5" borderId="28" xfId="0" applyFill="1" applyBorder="1"/>
    <xf numFmtId="0" fontId="0" fillId="5" borderId="7" xfId="0" applyFill="1" applyBorder="1"/>
    <xf numFmtId="0" fontId="0" fillId="5" borderId="5" xfId="0" applyFill="1" applyBorder="1"/>
  </cellXfs>
  <cellStyles count="6">
    <cellStyle name="Comma" xfId="3" builtinId="3"/>
    <cellStyle name="Comma 2" xfId="4" xr:uid="{2D9F8897-848F-477B-AC62-1D4179579A51}"/>
    <cellStyle name="Heading 3" xfId="5" builtinId="18"/>
    <cellStyle name="Hyperlink" xfId="2" builtinId="8"/>
    <cellStyle name="Normal" xfId="0" builtinId="0"/>
    <cellStyle name="Percent" xfId="1" builtinId="5"/>
  </cellStyles>
  <dxfs count="16">
    <dxf>
      <fill>
        <patternFill patternType="solid">
          <fgColor indexed="64"/>
          <bgColor theme="8" tint="0.79998168889431442"/>
        </patternFill>
      </fill>
    </dxf>
    <dxf>
      <numFmt numFmtId="14" formatCode="0.00%"/>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fill>
        <patternFill patternType="none">
          <bgColor auto="1"/>
        </patternFill>
      </fill>
    </dxf>
    <dxf>
      <numFmt numFmtId="14" formatCode="0.00%"/>
      <fill>
        <patternFill patternType="none">
          <bgColor auto="1"/>
        </patternFill>
      </fill>
    </dxf>
    <dxf>
      <numFmt numFmtId="14" formatCode="0.00%"/>
      <fill>
        <patternFill patternType="none">
          <bgColor auto="1"/>
        </patternFill>
      </fill>
    </dxf>
    <dxf>
      <numFmt numFmtId="14" formatCode="0.00%"/>
      <fill>
        <patternFill patternType="none">
          <bgColor auto="1"/>
        </patternFill>
      </fill>
    </dxf>
    <dxf>
      <fill>
        <patternFill patternType="none">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bgColor auto="1"/>
        </patternFill>
      </fill>
    </dxf>
    <dxf>
      <numFmt numFmtId="13" formatCode="0%"/>
    </dxf>
    <dxf>
      <numFmt numFmtId="14" formatCode="0.0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Divis Laboratories Share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Beta!$B$5</c:f>
              <c:strCache>
                <c:ptCount val="1"/>
                <c:pt idx="0">
                  <c:v>Share Price</c:v>
                </c:pt>
              </c:strCache>
            </c:strRef>
          </c:tx>
          <c:spPr>
            <a:ln w="22225" cap="rnd">
              <a:solidFill>
                <a:schemeClr val="accent6"/>
              </a:solidFill>
            </a:ln>
            <a:effectLst>
              <a:glow rad="139700">
                <a:schemeClr val="accent6">
                  <a:satMod val="175000"/>
                  <a:alpha val="14000"/>
                </a:schemeClr>
              </a:glow>
            </a:effectLst>
          </c:spPr>
          <c:marker>
            <c:symbol val="none"/>
          </c:marker>
          <c:trendline>
            <c:spPr>
              <a:ln w="25400" cap="rnd">
                <a:solidFill>
                  <a:schemeClr val="accent6">
                    <a:alpha val="50000"/>
                  </a:schemeClr>
                </a:solidFill>
              </a:ln>
              <a:effectLst/>
            </c:spPr>
            <c:trendlineType val="linear"/>
            <c:dispRSqr val="0"/>
            <c:dispEq val="0"/>
          </c:trendline>
          <c:trendline>
            <c:spPr>
              <a:ln w="25400" cap="rnd">
                <a:solidFill>
                  <a:schemeClr val="accent6">
                    <a:alpha val="50000"/>
                  </a:schemeClr>
                </a:solidFill>
              </a:ln>
              <a:effectLst/>
            </c:spPr>
            <c:trendlineType val="linear"/>
            <c:dispRSqr val="0"/>
            <c:dispEq val="0"/>
          </c:trendline>
          <c:cat>
            <c:numRef>
              <c:f>Beta!$A$6:$A$1243</c:f>
              <c:numCache>
                <c:formatCode>m/d/yyyy</c:formatCode>
                <c:ptCount val="1238"/>
                <c:pt idx="0">
                  <c:v>44281</c:v>
                </c:pt>
                <c:pt idx="1">
                  <c:v>44285</c:v>
                </c:pt>
                <c:pt idx="2">
                  <c:v>44286</c:v>
                </c:pt>
                <c:pt idx="3">
                  <c:v>44287</c:v>
                </c:pt>
                <c:pt idx="4">
                  <c:v>44291</c:v>
                </c:pt>
                <c:pt idx="5">
                  <c:v>44292</c:v>
                </c:pt>
                <c:pt idx="6">
                  <c:v>44293</c:v>
                </c:pt>
                <c:pt idx="7">
                  <c:v>44294</c:v>
                </c:pt>
                <c:pt idx="8">
                  <c:v>44295</c:v>
                </c:pt>
                <c:pt idx="9">
                  <c:v>44298</c:v>
                </c:pt>
                <c:pt idx="10">
                  <c:v>44299</c:v>
                </c:pt>
                <c:pt idx="11">
                  <c:v>44301</c:v>
                </c:pt>
                <c:pt idx="12">
                  <c:v>44302</c:v>
                </c:pt>
                <c:pt idx="13">
                  <c:v>44305</c:v>
                </c:pt>
                <c:pt idx="14">
                  <c:v>44306</c:v>
                </c:pt>
                <c:pt idx="15">
                  <c:v>44308</c:v>
                </c:pt>
                <c:pt idx="16">
                  <c:v>44309</c:v>
                </c:pt>
                <c:pt idx="17">
                  <c:v>44312</c:v>
                </c:pt>
                <c:pt idx="18">
                  <c:v>44313</c:v>
                </c:pt>
                <c:pt idx="19">
                  <c:v>44314</c:v>
                </c:pt>
                <c:pt idx="20">
                  <c:v>44315</c:v>
                </c:pt>
                <c:pt idx="21">
                  <c:v>44316</c:v>
                </c:pt>
                <c:pt idx="22">
                  <c:v>44319</c:v>
                </c:pt>
                <c:pt idx="23">
                  <c:v>44320</c:v>
                </c:pt>
                <c:pt idx="24">
                  <c:v>44321</c:v>
                </c:pt>
                <c:pt idx="25">
                  <c:v>44322</c:v>
                </c:pt>
                <c:pt idx="26">
                  <c:v>44323</c:v>
                </c:pt>
                <c:pt idx="27">
                  <c:v>44326</c:v>
                </c:pt>
                <c:pt idx="28">
                  <c:v>44327</c:v>
                </c:pt>
                <c:pt idx="29">
                  <c:v>44328</c:v>
                </c:pt>
                <c:pt idx="30">
                  <c:v>44330</c:v>
                </c:pt>
                <c:pt idx="31">
                  <c:v>44333</c:v>
                </c:pt>
                <c:pt idx="32">
                  <c:v>44334</c:v>
                </c:pt>
                <c:pt idx="33">
                  <c:v>44335</c:v>
                </c:pt>
                <c:pt idx="34">
                  <c:v>44336</c:v>
                </c:pt>
                <c:pt idx="35">
                  <c:v>44337</c:v>
                </c:pt>
                <c:pt idx="36">
                  <c:v>44340</c:v>
                </c:pt>
                <c:pt idx="37">
                  <c:v>44341</c:v>
                </c:pt>
                <c:pt idx="38">
                  <c:v>44342</c:v>
                </c:pt>
                <c:pt idx="39">
                  <c:v>44343</c:v>
                </c:pt>
                <c:pt idx="40">
                  <c:v>44344</c:v>
                </c:pt>
                <c:pt idx="41">
                  <c:v>44347</c:v>
                </c:pt>
                <c:pt idx="42">
                  <c:v>44348</c:v>
                </c:pt>
                <c:pt idx="43">
                  <c:v>44349</c:v>
                </c:pt>
                <c:pt idx="44">
                  <c:v>44350</c:v>
                </c:pt>
                <c:pt idx="45">
                  <c:v>44351</c:v>
                </c:pt>
                <c:pt idx="46">
                  <c:v>44354</c:v>
                </c:pt>
                <c:pt idx="47">
                  <c:v>44355</c:v>
                </c:pt>
                <c:pt idx="48">
                  <c:v>44356</c:v>
                </c:pt>
                <c:pt idx="49">
                  <c:v>44357</c:v>
                </c:pt>
                <c:pt idx="50">
                  <c:v>44358</c:v>
                </c:pt>
                <c:pt idx="51">
                  <c:v>44361</c:v>
                </c:pt>
                <c:pt idx="52">
                  <c:v>44362</c:v>
                </c:pt>
                <c:pt idx="53">
                  <c:v>44363</c:v>
                </c:pt>
                <c:pt idx="54">
                  <c:v>44364</c:v>
                </c:pt>
                <c:pt idx="55">
                  <c:v>44365</c:v>
                </c:pt>
                <c:pt idx="56">
                  <c:v>44368</c:v>
                </c:pt>
                <c:pt idx="57">
                  <c:v>44369</c:v>
                </c:pt>
                <c:pt idx="58">
                  <c:v>44370</c:v>
                </c:pt>
                <c:pt idx="59">
                  <c:v>44371</c:v>
                </c:pt>
                <c:pt idx="60">
                  <c:v>44372</c:v>
                </c:pt>
                <c:pt idx="61">
                  <c:v>44375</c:v>
                </c:pt>
                <c:pt idx="62">
                  <c:v>44376</c:v>
                </c:pt>
                <c:pt idx="63">
                  <c:v>44377</c:v>
                </c:pt>
                <c:pt idx="64">
                  <c:v>44378</c:v>
                </c:pt>
                <c:pt idx="65">
                  <c:v>44379</c:v>
                </c:pt>
                <c:pt idx="66">
                  <c:v>44382</c:v>
                </c:pt>
                <c:pt idx="67">
                  <c:v>44383</c:v>
                </c:pt>
                <c:pt idx="68">
                  <c:v>44384</c:v>
                </c:pt>
                <c:pt idx="69">
                  <c:v>44385</c:v>
                </c:pt>
                <c:pt idx="70">
                  <c:v>44386</c:v>
                </c:pt>
                <c:pt idx="71">
                  <c:v>44389</c:v>
                </c:pt>
                <c:pt idx="72">
                  <c:v>44390</c:v>
                </c:pt>
                <c:pt idx="73">
                  <c:v>44391</c:v>
                </c:pt>
                <c:pt idx="74">
                  <c:v>44392</c:v>
                </c:pt>
                <c:pt idx="75">
                  <c:v>44393</c:v>
                </c:pt>
                <c:pt idx="76">
                  <c:v>44396</c:v>
                </c:pt>
                <c:pt idx="77">
                  <c:v>44397</c:v>
                </c:pt>
                <c:pt idx="78">
                  <c:v>44399</c:v>
                </c:pt>
                <c:pt idx="79">
                  <c:v>44400</c:v>
                </c:pt>
                <c:pt idx="80">
                  <c:v>44403</c:v>
                </c:pt>
                <c:pt idx="81">
                  <c:v>44404</c:v>
                </c:pt>
                <c:pt idx="82">
                  <c:v>44405</c:v>
                </c:pt>
                <c:pt idx="83">
                  <c:v>44406</c:v>
                </c:pt>
                <c:pt idx="84">
                  <c:v>44407</c:v>
                </c:pt>
                <c:pt idx="85">
                  <c:v>44410</c:v>
                </c:pt>
                <c:pt idx="86">
                  <c:v>44411</c:v>
                </c:pt>
                <c:pt idx="87">
                  <c:v>44412</c:v>
                </c:pt>
                <c:pt idx="88">
                  <c:v>44413</c:v>
                </c:pt>
                <c:pt idx="89">
                  <c:v>44414</c:v>
                </c:pt>
                <c:pt idx="90">
                  <c:v>44417</c:v>
                </c:pt>
                <c:pt idx="91">
                  <c:v>44418</c:v>
                </c:pt>
                <c:pt idx="92">
                  <c:v>44419</c:v>
                </c:pt>
                <c:pt idx="93">
                  <c:v>44420</c:v>
                </c:pt>
                <c:pt idx="94">
                  <c:v>44421</c:v>
                </c:pt>
                <c:pt idx="95">
                  <c:v>44424</c:v>
                </c:pt>
                <c:pt idx="96">
                  <c:v>44425</c:v>
                </c:pt>
                <c:pt idx="97">
                  <c:v>44426</c:v>
                </c:pt>
                <c:pt idx="98">
                  <c:v>44428</c:v>
                </c:pt>
                <c:pt idx="99">
                  <c:v>44431</c:v>
                </c:pt>
                <c:pt idx="100">
                  <c:v>44432</c:v>
                </c:pt>
                <c:pt idx="101">
                  <c:v>44433</c:v>
                </c:pt>
                <c:pt idx="102">
                  <c:v>44434</c:v>
                </c:pt>
                <c:pt idx="103">
                  <c:v>44435</c:v>
                </c:pt>
                <c:pt idx="104">
                  <c:v>44438</c:v>
                </c:pt>
                <c:pt idx="105">
                  <c:v>44439</c:v>
                </c:pt>
                <c:pt idx="106">
                  <c:v>44440</c:v>
                </c:pt>
                <c:pt idx="107">
                  <c:v>44441</c:v>
                </c:pt>
                <c:pt idx="108">
                  <c:v>44442</c:v>
                </c:pt>
                <c:pt idx="109">
                  <c:v>44445</c:v>
                </c:pt>
                <c:pt idx="110">
                  <c:v>44446</c:v>
                </c:pt>
                <c:pt idx="111">
                  <c:v>44447</c:v>
                </c:pt>
                <c:pt idx="112">
                  <c:v>44448</c:v>
                </c:pt>
                <c:pt idx="113">
                  <c:v>44452</c:v>
                </c:pt>
                <c:pt idx="114">
                  <c:v>44453</c:v>
                </c:pt>
                <c:pt idx="115">
                  <c:v>44454</c:v>
                </c:pt>
                <c:pt idx="116">
                  <c:v>44455</c:v>
                </c:pt>
                <c:pt idx="117">
                  <c:v>44456</c:v>
                </c:pt>
                <c:pt idx="118">
                  <c:v>44459</c:v>
                </c:pt>
                <c:pt idx="119">
                  <c:v>44460</c:v>
                </c:pt>
                <c:pt idx="120">
                  <c:v>44461</c:v>
                </c:pt>
                <c:pt idx="121">
                  <c:v>44462</c:v>
                </c:pt>
                <c:pt idx="122">
                  <c:v>44463</c:v>
                </c:pt>
                <c:pt idx="123">
                  <c:v>44466</c:v>
                </c:pt>
                <c:pt idx="124">
                  <c:v>44467</c:v>
                </c:pt>
                <c:pt idx="125">
                  <c:v>44468</c:v>
                </c:pt>
                <c:pt idx="126">
                  <c:v>44469</c:v>
                </c:pt>
                <c:pt idx="127">
                  <c:v>44470</c:v>
                </c:pt>
                <c:pt idx="128">
                  <c:v>44473</c:v>
                </c:pt>
                <c:pt idx="129">
                  <c:v>44474</c:v>
                </c:pt>
                <c:pt idx="130">
                  <c:v>44475</c:v>
                </c:pt>
                <c:pt idx="131">
                  <c:v>44476</c:v>
                </c:pt>
                <c:pt idx="132">
                  <c:v>44477</c:v>
                </c:pt>
                <c:pt idx="133">
                  <c:v>44480</c:v>
                </c:pt>
                <c:pt idx="134">
                  <c:v>44481</c:v>
                </c:pt>
                <c:pt idx="135">
                  <c:v>44482</c:v>
                </c:pt>
                <c:pt idx="136">
                  <c:v>44483</c:v>
                </c:pt>
                <c:pt idx="137">
                  <c:v>44487</c:v>
                </c:pt>
                <c:pt idx="138">
                  <c:v>44488</c:v>
                </c:pt>
                <c:pt idx="139">
                  <c:v>44489</c:v>
                </c:pt>
                <c:pt idx="140">
                  <c:v>44490</c:v>
                </c:pt>
                <c:pt idx="141">
                  <c:v>44491</c:v>
                </c:pt>
                <c:pt idx="142">
                  <c:v>44494</c:v>
                </c:pt>
                <c:pt idx="143">
                  <c:v>44495</c:v>
                </c:pt>
                <c:pt idx="144">
                  <c:v>44496</c:v>
                </c:pt>
                <c:pt idx="145">
                  <c:v>44497</c:v>
                </c:pt>
                <c:pt idx="146">
                  <c:v>44498</c:v>
                </c:pt>
                <c:pt idx="147">
                  <c:v>44501</c:v>
                </c:pt>
                <c:pt idx="148">
                  <c:v>44502</c:v>
                </c:pt>
                <c:pt idx="149">
                  <c:v>44503</c:v>
                </c:pt>
                <c:pt idx="150">
                  <c:v>44504</c:v>
                </c:pt>
                <c:pt idx="151">
                  <c:v>44508</c:v>
                </c:pt>
                <c:pt idx="152">
                  <c:v>44509</c:v>
                </c:pt>
                <c:pt idx="153">
                  <c:v>44510</c:v>
                </c:pt>
                <c:pt idx="154">
                  <c:v>44511</c:v>
                </c:pt>
                <c:pt idx="155">
                  <c:v>44512</c:v>
                </c:pt>
                <c:pt idx="156">
                  <c:v>44515</c:v>
                </c:pt>
                <c:pt idx="157">
                  <c:v>44516</c:v>
                </c:pt>
                <c:pt idx="158">
                  <c:v>44517</c:v>
                </c:pt>
                <c:pt idx="159">
                  <c:v>44518</c:v>
                </c:pt>
                <c:pt idx="160">
                  <c:v>44522</c:v>
                </c:pt>
                <c:pt idx="161">
                  <c:v>44523</c:v>
                </c:pt>
                <c:pt idx="162">
                  <c:v>44524</c:v>
                </c:pt>
                <c:pt idx="163">
                  <c:v>44525</c:v>
                </c:pt>
                <c:pt idx="164">
                  <c:v>44526</c:v>
                </c:pt>
                <c:pt idx="165">
                  <c:v>44529</c:v>
                </c:pt>
                <c:pt idx="166">
                  <c:v>44530</c:v>
                </c:pt>
                <c:pt idx="167">
                  <c:v>44531</c:v>
                </c:pt>
                <c:pt idx="168">
                  <c:v>44532</c:v>
                </c:pt>
                <c:pt idx="169">
                  <c:v>44533</c:v>
                </c:pt>
                <c:pt idx="170">
                  <c:v>44536</c:v>
                </c:pt>
                <c:pt idx="171">
                  <c:v>44537</c:v>
                </c:pt>
                <c:pt idx="172">
                  <c:v>44538</c:v>
                </c:pt>
                <c:pt idx="173">
                  <c:v>44539</c:v>
                </c:pt>
                <c:pt idx="174">
                  <c:v>44540</c:v>
                </c:pt>
                <c:pt idx="175">
                  <c:v>44543</c:v>
                </c:pt>
                <c:pt idx="176">
                  <c:v>44544</c:v>
                </c:pt>
                <c:pt idx="177">
                  <c:v>44545</c:v>
                </c:pt>
                <c:pt idx="178">
                  <c:v>44546</c:v>
                </c:pt>
                <c:pt idx="179">
                  <c:v>44547</c:v>
                </c:pt>
                <c:pt idx="180">
                  <c:v>44550</c:v>
                </c:pt>
                <c:pt idx="181">
                  <c:v>44551</c:v>
                </c:pt>
                <c:pt idx="182">
                  <c:v>44552</c:v>
                </c:pt>
                <c:pt idx="183">
                  <c:v>44553</c:v>
                </c:pt>
                <c:pt idx="184">
                  <c:v>44554</c:v>
                </c:pt>
                <c:pt idx="185">
                  <c:v>44557</c:v>
                </c:pt>
                <c:pt idx="186">
                  <c:v>44558</c:v>
                </c:pt>
                <c:pt idx="187">
                  <c:v>44559</c:v>
                </c:pt>
                <c:pt idx="188">
                  <c:v>44560</c:v>
                </c:pt>
                <c:pt idx="189">
                  <c:v>44561</c:v>
                </c:pt>
                <c:pt idx="190">
                  <c:v>44564</c:v>
                </c:pt>
                <c:pt idx="191">
                  <c:v>44565</c:v>
                </c:pt>
                <c:pt idx="192">
                  <c:v>44566</c:v>
                </c:pt>
                <c:pt idx="193">
                  <c:v>44567</c:v>
                </c:pt>
                <c:pt idx="194">
                  <c:v>44568</c:v>
                </c:pt>
                <c:pt idx="195">
                  <c:v>44571</c:v>
                </c:pt>
                <c:pt idx="196">
                  <c:v>44572</c:v>
                </c:pt>
                <c:pt idx="197">
                  <c:v>44573</c:v>
                </c:pt>
                <c:pt idx="198">
                  <c:v>44574</c:v>
                </c:pt>
                <c:pt idx="199">
                  <c:v>44575</c:v>
                </c:pt>
                <c:pt idx="200">
                  <c:v>44578</c:v>
                </c:pt>
                <c:pt idx="201">
                  <c:v>44579</c:v>
                </c:pt>
                <c:pt idx="202">
                  <c:v>44580</c:v>
                </c:pt>
                <c:pt idx="203">
                  <c:v>44581</c:v>
                </c:pt>
                <c:pt idx="204">
                  <c:v>44582</c:v>
                </c:pt>
                <c:pt idx="205">
                  <c:v>44585</c:v>
                </c:pt>
                <c:pt idx="206">
                  <c:v>44586</c:v>
                </c:pt>
                <c:pt idx="207">
                  <c:v>44588</c:v>
                </c:pt>
                <c:pt idx="208">
                  <c:v>44589</c:v>
                </c:pt>
                <c:pt idx="209">
                  <c:v>44592</c:v>
                </c:pt>
                <c:pt idx="210">
                  <c:v>44593</c:v>
                </c:pt>
                <c:pt idx="211">
                  <c:v>44594</c:v>
                </c:pt>
                <c:pt idx="212">
                  <c:v>44595</c:v>
                </c:pt>
                <c:pt idx="213">
                  <c:v>44596</c:v>
                </c:pt>
                <c:pt idx="214">
                  <c:v>44599</c:v>
                </c:pt>
                <c:pt idx="215">
                  <c:v>44600</c:v>
                </c:pt>
                <c:pt idx="216">
                  <c:v>44601</c:v>
                </c:pt>
                <c:pt idx="217">
                  <c:v>44602</c:v>
                </c:pt>
                <c:pt idx="218">
                  <c:v>44603</c:v>
                </c:pt>
                <c:pt idx="219">
                  <c:v>44606</c:v>
                </c:pt>
                <c:pt idx="220">
                  <c:v>44607</c:v>
                </c:pt>
                <c:pt idx="221">
                  <c:v>44608</c:v>
                </c:pt>
                <c:pt idx="222">
                  <c:v>44609</c:v>
                </c:pt>
                <c:pt idx="223">
                  <c:v>44610</c:v>
                </c:pt>
                <c:pt idx="224">
                  <c:v>44613</c:v>
                </c:pt>
                <c:pt idx="225">
                  <c:v>44614</c:v>
                </c:pt>
                <c:pt idx="226">
                  <c:v>44615</c:v>
                </c:pt>
                <c:pt idx="227">
                  <c:v>44616</c:v>
                </c:pt>
                <c:pt idx="228">
                  <c:v>44617</c:v>
                </c:pt>
                <c:pt idx="229">
                  <c:v>44620</c:v>
                </c:pt>
                <c:pt idx="230">
                  <c:v>44622</c:v>
                </c:pt>
                <c:pt idx="231">
                  <c:v>44623</c:v>
                </c:pt>
                <c:pt idx="232">
                  <c:v>44624</c:v>
                </c:pt>
                <c:pt idx="233">
                  <c:v>44627</c:v>
                </c:pt>
                <c:pt idx="234">
                  <c:v>44628</c:v>
                </c:pt>
                <c:pt idx="235">
                  <c:v>44629</c:v>
                </c:pt>
                <c:pt idx="236">
                  <c:v>44630</c:v>
                </c:pt>
                <c:pt idx="237">
                  <c:v>44631</c:v>
                </c:pt>
                <c:pt idx="238">
                  <c:v>44634</c:v>
                </c:pt>
                <c:pt idx="239">
                  <c:v>44635</c:v>
                </c:pt>
                <c:pt idx="240">
                  <c:v>44636</c:v>
                </c:pt>
                <c:pt idx="241">
                  <c:v>44637</c:v>
                </c:pt>
                <c:pt idx="242">
                  <c:v>44641</c:v>
                </c:pt>
                <c:pt idx="243">
                  <c:v>44642</c:v>
                </c:pt>
                <c:pt idx="244">
                  <c:v>44643</c:v>
                </c:pt>
                <c:pt idx="245">
                  <c:v>44644</c:v>
                </c:pt>
                <c:pt idx="246">
                  <c:v>44645</c:v>
                </c:pt>
                <c:pt idx="247">
                  <c:v>44648</c:v>
                </c:pt>
                <c:pt idx="248">
                  <c:v>44649</c:v>
                </c:pt>
                <c:pt idx="249">
                  <c:v>44650</c:v>
                </c:pt>
                <c:pt idx="250">
                  <c:v>44651</c:v>
                </c:pt>
                <c:pt idx="251">
                  <c:v>44652</c:v>
                </c:pt>
                <c:pt idx="252">
                  <c:v>44655</c:v>
                </c:pt>
                <c:pt idx="253">
                  <c:v>44656</c:v>
                </c:pt>
                <c:pt idx="254">
                  <c:v>44657</c:v>
                </c:pt>
                <c:pt idx="255">
                  <c:v>44658</c:v>
                </c:pt>
                <c:pt idx="256">
                  <c:v>44659</c:v>
                </c:pt>
                <c:pt idx="257">
                  <c:v>44662</c:v>
                </c:pt>
                <c:pt idx="258">
                  <c:v>44663</c:v>
                </c:pt>
                <c:pt idx="259">
                  <c:v>44664</c:v>
                </c:pt>
                <c:pt idx="260">
                  <c:v>44669</c:v>
                </c:pt>
                <c:pt idx="261">
                  <c:v>44670</c:v>
                </c:pt>
                <c:pt idx="262">
                  <c:v>44671</c:v>
                </c:pt>
                <c:pt idx="263">
                  <c:v>44672</c:v>
                </c:pt>
                <c:pt idx="264">
                  <c:v>44673</c:v>
                </c:pt>
                <c:pt idx="265">
                  <c:v>44676</c:v>
                </c:pt>
                <c:pt idx="266">
                  <c:v>44677</c:v>
                </c:pt>
                <c:pt idx="267">
                  <c:v>44678</c:v>
                </c:pt>
                <c:pt idx="268">
                  <c:v>44679</c:v>
                </c:pt>
                <c:pt idx="269">
                  <c:v>44680</c:v>
                </c:pt>
                <c:pt idx="270">
                  <c:v>44683</c:v>
                </c:pt>
                <c:pt idx="271">
                  <c:v>44685</c:v>
                </c:pt>
                <c:pt idx="272">
                  <c:v>44686</c:v>
                </c:pt>
                <c:pt idx="273">
                  <c:v>44687</c:v>
                </c:pt>
                <c:pt idx="274">
                  <c:v>44690</c:v>
                </c:pt>
                <c:pt idx="275">
                  <c:v>44691</c:v>
                </c:pt>
                <c:pt idx="276">
                  <c:v>44692</c:v>
                </c:pt>
                <c:pt idx="277">
                  <c:v>44693</c:v>
                </c:pt>
                <c:pt idx="278">
                  <c:v>44694</c:v>
                </c:pt>
                <c:pt idx="279">
                  <c:v>44697</c:v>
                </c:pt>
                <c:pt idx="280">
                  <c:v>44698</c:v>
                </c:pt>
                <c:pt idx="281">
                  <c:v>44699</c:v>
                </c:pt>
                <c:pt idx="282">
                  <c:v>44700</c:v>
                </c:pt>
                <c:pt idx="283">
                  <c:v>44701</c:v>
                </c:pt>
                <c:pt idx="284">
                  <c:v>44704</c:v>
                </c:pt>
                <c:pt idx="285">
                  <c:v>44705</c:v>
                </c:pt>
                <c:pt idx="286">
                  <c:v>44706</c:v>
                </c:pt>
                <c:pt idx="287">
                  <c:v>44707</c:v>
                </c:pt>
                <c:pt idx="288">
                  <c:v>44708</c:v>
                </c:pt>
                <c:pt idx="289">
                  <c:v>44711</c:v>
                </c:pt>
                <c:pt idx="290">
                  <c:v>44712</c:v>
                </c:pt>
                <c:pt idx="291">
                  <c:v>44713</c:v>
                </c:pt>
                <c:pt idx="292">
                  <c:v>44714</c:v>
                </c:pt>
                <c:pt idx="293">
                  <c:v>44715</c:v>
                </c:pt>
                <c:pt idx="294">
                  <c:v>44718</c:v>
                </c:pt>
                <c:pt idx="295">
                  <c:v>44719</c:v>
                </c:pt>
                <c:pt idx="296">
                  <c:v>44720</c:v>
                </c:pt>
                <c:pt idx="297">
                  <c:v>44721</c:v>
                </c:pt>
                <c:pt idx="298">
                  <c:v>44722</c:v>
                </c:pt>
                <c:pt idx="299">
                  <c:v>44725</c:v>
                </c:pt>
                <c:pt idx="300">
                  <c:v>44726</c:v>
                </c:pt>
                <c:pt idx="301">
                  <c:v>44727</c:v>
                </c:pt>
                <c:pt idx="302">
                  <c:v>44728</c:v>
                </c:pt>
                <c:pt idx="303">
                  <c:v>44729</c:v>
                </c:pt>
                <c:pt idx="304">
                  <c:v>44732</c:v>
                </c:pt>
                <c:pt idx="305">
                  <c:v>44733</c:v>
                </c:pt>
                <c:pt idx="306">
                  <c:v>44734</c:v>
                </c:pt>
                <c:pt idx="307">
                  <c:v>44735</c:v>
                </c:pt>
                <c:pt idx="308">
                  <c:v>44736</c:v>
                </c:pt>
                <c:pt idx="309">
                  <c:v>44739</c:v>
                </c:pt>
                <c:pt idx="310">
                  <c:v>44740</c:v>
                </c:pt>
                <c:pt idx="311">
                  <c:v>44741</c:v>
                </c:pt>
                <c:pt idx="312">
                  <c:v>44742</c:v>
                </c:pt>
                <c:pt idx="313">
                  <c:v>44743</c:v>
                </c:pt>
                <c:pt idx="314">
                  <c:v>44746</c:v>
                </c:pt>
                <c:pt idx="315">
                  <c:v>44747</c:v>
                </c:pt>
                <c:pt idx="316">
                  <c:v>44748</c:v>
                </c:pt>
                <c:pt idx="317">
                  <c:v>44749</c:v>
                </c:pt>
                <c:pt idx="318">
                  <c:v>44750</c:v>
                </c:pt>
                <c:pt idx="319">
                  <c:v>44753</c:v>
                </c:pt>
                <c:pt idx="320">
                  <c:v>44754</c:v>
                </c:pt>
                <c:pt idx="321">
                  <c:v>44755</c:v>
                </c:pt>
                <c:pt idx="322">
                  <c:v>44756</c:v>
                </c:pt>
                <c:pt idx="323">
                  <c:v>44757</c:v>
                </c:pt>
                <c:pt idx="324">
                  <c:v>44760</c:v>
                </c:pt>
                <c:pt idx="325">
                  <c:v>44761</c:v>
                </c:pt>
                <c:pt idx="326">
                  <c:v>44762</c:v>
                </c:pt>
                <c:pt idx="327">
                  <c:v>44763</c:v>
                </c:pt>
                <c:pt idx="328">
                  <c:v>44764</c:v>
                </c:pt>
                <c:pt idx="329">
                  <c:v>44767</c:v>
                </c:pt>
                <c:pt idx="330">
                  <c:v>44768</c:v>
                </c:pt>
                <c:pt idx="331">
                  <c:v>44769</c:v>
                </c:pt>
                <c:pt idx="332">
                  <c:v>44770</c:v>
                </c:pt>
                <c:pt idx="333">
                  <c:v>44771</c:v>
                </c:pt>
                <c:pt idx="334">
                  <c:v>44774</c:v>
                </c:pt>
                <c:pt idx="335">
                  <c:v>44775</c:v>
                </c:pt>
                <c:pt idx="336">
                  <c:v>44776</c:v>
                </c:pt>
                <c:pt idx="337">
                  <c:v>44777</c:v>
                </c:pt>
                <c:pt idx="338">
                  <c:v>44778</c:v>
                </c:pt>
                <c:pt idx="339">
                  <c:v>44781</c:v>
                </c:pt>
                <c:pt idx="340">
                  <c:v>44783</c:v>
                </c:pt>
                <c:pt idx="341">
                  <c:v>44784</c:v>
                </c:pt>
                <c:pt idx="342">
                  <c:v>44785</c:v>
                </c:pt>
                <c:pt idx="343">
                  <c:v>44789</c:v>
                </c:pt>
                <c:pt idx="344">
                  <c:v>44790</c:v>
                </c:pt>
                <c:pt idx="345">
                  <c:v>44791</c:v>
                </c:pt>
                <c:pt idx="346">
                  <c:v>44792</c:v>
                </c:pt>
                <c:pt idx="347">
                  <c:v>44795</c:v>
                </c:pt>
                <c:pt idx="348">
                  <c:v>44796</c:v>
                </c:pt>
                <c:pt idx="349">
                  <c:v>44797</c:v>
                </c:pt>
                <c:pt idx="350">
                  <c:v>44798</c:v>
                </c:pt>
                <c:pt idx="351">
                  <c:v>44799</c:v>
                </c:pt>
                <c:pt idx="352">
                  <c:v>44802</c:v>
                </c:pt>
                <c:pt idx="353">
                  <c:v>44803</c:v>
                </c:pt>
                <c:pt idx="354">
                  <c:v>44805</c:v>
                </c:pt>
                <c:pt idx="355">
                  <c:v>44806</c:v>
                </c:pt>
                <c:pt idx="356">
                  <c:v>44809</c:v>
                </c:pt>
                <c:pt idx="357">
                  <c:v>44810</c:v>
                </c:pt>
                <c:pt idx="358">
                  <c:v>44811</c:v>
                </c:pt>
                <c:pt idx="359">
                  <c:v>44812</c:v>
                </c:pt>
                <c:pt idx="360">
                  <c:v>44813</c:v>
                </c:pt>
                <c:pt idx="361">
                  <c:v>44816</c:v>
                </c:pt>
                <c:pt idx="362">
                  <c:v>44817</c:v>
                </c:pt>
                <c:pt idx="363">
                  <c:v>44818</c:v>
                </c:pt>
                <c:pt idx="364">
                  <c:v>44819</c:v>
                </c:pt>
                <c:pt idx="365">
                  <c:v>44820</c:v>
                </c:pt>
                <c:pt idx="366">
                  <c:v>44823</c:v>
                </c:pt>
                <c:pt idx="367">
                  <c:v>44824</c:v>
                </c:pt>
                <c:pt idx="368">
                  <c:v>44825</c:v>
                </c:pt>
                <c:pt idx="369">
                  <c:v>44826</c:v>
                </c:pt>
                <c:pt idx="370">
                  <c:v>44827</c:v>
                </c:pt>
                <c:pt idx="371">
                  <c:v>44830</c:v>
                </c:pt>
                <c:pt idx="372">
                  <c:v>44831</c:v>
                </c:pt>
                <c:pt idx="373">
                  <c:v>44832</c:v>
                </c:pt>
                <c:pt idx="374">
                  <c:v>44833</c:v>
                </c:pt>
                <c:pt idx="375">
                  <c:v>44834</c:v>
                </c:pt>
                <c:pt idx="376">
                  <c:v>44837</c:v>
                </c:pt>
                <c:pt idx="377">
                  <c:v>44838</c:v>
                </c:pt>
                <c:pt idx="378">
                  <c:v>44840</c:v>
                </c:pt>
                <c:pt idx="379">
                  <c:v>44841</c:v>
                </c:pt>
                <c:pt idx="380">
                  <c:v>44844</c:v>
                </c:pt>
                <c:pt idx="381">
                  <c:v>44845</c:v>
                </c:pt>
                <c:pt idx="382">
                  <c:v>44846</c:v>
                </c:pt>
                <c:pt idx="383">
                  <c:v>44847</c:v>
                </c:pt>
                <c:pt idx="384">
                  <c:v>44848</c:v>
                </c:pt>
                <c:pt idx="385">
                  <c:v>44851</c:v>
                </c:pt>
                <c:pt idx="386">
                  <c:v>44852</c:v>
                </c:pt>
                <c:pt idx="387">
                  <c:v>44853</c:v>
                </c:pt>
                <c:pt idx="388">
                  <c:v>44854</c:v>
                </c:pt>
                <c:pt idx="389">
                  <c:v>44855</c:v>
                </c:pt>
                <c:pt idx="390">
                  <c:v>44858</c:v>
                </c:pt>
                <c:pt idx="391">
                  <c:v>44859</c:v>
                </c:pt>
                <c:pt idx="392">
                  <c:v>44861</c:v>
                </c:pt>
                <c:pt idx="393">
                  <c:v>44862</c:v>
                </c:pt>
                <c:pt idx="394">
                  <c:v>44865</c:v>
                </c:pt>
                <c:pt idx="395">
                  <c:v>44866</c:v>
                </c:pt>
                <c:pt idx="396">
                  <c:v>44867</c:v>
                </c:pt>
                <c:pt idx="397">
                  <c:v>44868</c:v>
                </c:pt>
                <c:pt idx="398">
                  <c:v>44869</c:v>
                </c:pt>
                <c:pt idx="399">
                  <c:v>44872</c:v>
                </c:pt>
                <c:pt idx="400">
                  <c:v>44874</c:v>
                </c:pt>
                <c:pt idx="401">
                  <c:v>44875</c:v>
                </c:pt>
                <c:pt idx="402">
                  <c:v>44876</c:v>
                </c:pt>
                <c:pt idx="403">
                  <c:v>44879</c:v>
                </c:pt>
                <c:pt idx="404">
                  <c:v>44880</c:v>
                </c:pt>
                <c:pt idx="405">
                  <c:v>44881</c:v>
                </c:pt>
                <c:pt idx="406">
                  <c:v>44882</c:v>
                </c:pt>
                <c:pt idx="407">
                  <c:v>44883</c:v>
                </c:pt>
                <c:pt idx="408">
                  <c:v>44886</c:v>
                </c:pt>
                <c:pt idx="409">
                  <c:v>44887</c:v>
                </c:pt>
                <c:pt idx="410">
                  <c:v>44888</c:v>
                </c:pt>
                <c:pt idx="411">
                  <c:v>44889</c:v>
                </c:pt>
                <c:pt idx="412">
                  <c:v>44890</c:v>
                </c:pt>
                <c:pt idx="413">
                  <c:v>44893</c:v>
                </c:pt>
                <c:pt idx="414">
                  <c:v>44894</c:v>
                </c:pt>
                <c:pt idx="415">
                  <c:v>44895</c:v>
                </c:pt>
                <c:pt idx="416">
                  <c:v>44896</c:v>
                </c:pt>
                <c:pt idx="417">
                  <c:v>44897</c:v>
                </c:pt>
                <c:pt idx="418">
                  <c:v>44900</c:v>
                </c:pt>
                <c:pt idx="419">
                  <c:v>44901</c:v>
                </c:pt>
                <c:pt idx="420">
                  <c:v>44902</c:v>
                </c:pt>
                <c:pt idx="421">
                  <c:v>44903</c:v>
                </c:pt>
                <c:pt idx="422">
                  <c:v>44904</c:v>
                </c:pt>
                <c:pt idx="423">
                  <c:v>44907</c:v>
                </c:pt>
                <c:pt idx="424">
                  <c:v>44908</c:v>
                </c:pt>
                <c:pt idx="425">
                  <c:v>44909</c:v>
                </c:pt>
                <c:pt idx="426">
                  <c:v>44910</c:v>
                </c:pt>
                <c:pt idx="427">
                  <c:v>44911</c:v>
                </c:pt>
                <c:pt idx="428">
                  <c:v>44914</c:v>
                </c:pt>
                <c:pt idx="429">
                  <c:v>44915</c:v>
                </c:pt>
                <c:pt idx="430">
                  <c:v>44916</c:v>
                </c:pt>
                <c:pt idx="431">
                  <c:v>44917</c:v>
                </c:pt>
                <c:pt idx="432">
                  <c:v>44918</c:v>
                </c:pt>
                <c:pt idx="433">
                  <c:v>44921</c:v>
                </c:pt>
                <c:pt idx="434">
                  <c:v>44922</c:v>
                </c:pt>
                <c:pt idx="435">
                  <c:v>44923</c:v>
                </c:pt>
                <c:pt idx="436">
                  <c:v>44924</c:v>
                </c:pt>
                <c:pt idx="437">
                  <c:v>44925</c:v>
                </c:pt>
                <c:pt idx="438">
                  <c:v>44928</c:v>
                </c:pt>
                <c:pt idx="439">
                  <c:v>44929</c:v>
                </c:pt>
                <c:pt idx="440">
                  <c:v>44930</c:v>
                </c:pt>
                <c:pt idx="441">
                  <c:v>44931</c:v>
                </c:pt>
                <c:pt idx="442">
                  <c:v>44932</c:v>
                </c:pt>
                <c:pt idx="443">
                  <c:v>44935</c:v>
                </c:pt>
                <c:pt idx="444">
                  <c:v>44936</c:v>
                </c:pt>
                <c:pt idx="445">
                  <c:v>44937</c:v>
                </c:pt>
                <c:pt idx="446">
                  <c:v>44938</c:v>
                </c:pt>
                <c:pt idx="447">
                  <c:v>44939</c:v>
                </c:pt>
                <c:pt idx="448">
                  <c:v>44942</c:v>
                </c:pt>
                <c:pt idx="449">
                  <c:v>44943</c:v>
                </c:pt>
                <c:pt idx="450">
                  <c:v>44944</c:v>
                </c:pt>
                <c:pt idx="451">
                  <c:v>44945</c:v>
                </c:pt>
                <c:pt idx="452">
                  <c:v>44946</c:v>
                </c:pt>
                <c:pt idx="453">
                  <c:v>44949</c:v>
                </c:pt>
                <c:pt idx="454">
                  <c:v>44950</c:v>
                </c:pt>
                <c:pt idx="455">
                  <c:v>44951</c:v>
                </c:pt>
                <c:pt idx="456">
                  <c:v>44953</c:v>
                </c:pt>
                <c:pt idx="457">
                  <c:v>44956</c:v>
                </c:pt>
                <c:pt idx="458">
                  <c:v>44957</c:v>
                </c:pt>
                <c:pt idx="459">
                  <c:v>44958</c:v>
                </c:pt>
                <c:pt idx="460">
                  <c:v>44959</c:v>
                </c:pt>
                <c:pt idx="461">
                  <c:v>44960</c:v>
                </c:pt>
                <c:pt idx="462">
                  <c:v>44963</c:v>
                </c:pt>
                <c:pt idx="463">
                  <c:v>44964</c:v>
                </c:pt>
                <c:pt idx="464">
                  <c:v>44965</c:v>
                </c:pt>
                <c:pt idx="465">
                  <c:v>44966</c:v>
                </c:pt>
                <c:pt idx="466">
                  <c:v>44967</c:v>
                </c:pt>
                <c:pt idx="467">
                  <c:v>44970</c:v>
                </c:pt>
                <c:pt idx="468">
                  <c:v>44971</c:v>
                </c:pt>
                <c:pt idx="469">
                  <c:v>44972</c:v>
                </c:pt>
                <c:pt idx="470">
                  <c:v>44973</c:v>
                </c:pt>
                <c:pt idx="471">
                  <c:v>44974</c:v>
                </c:pt>
                <c:pt idx="472">
                  <c:v>44977</c:v>
                </c:pt>
                <c:pt idx="473">
                  <c:v>44978</c:v>
                </c:pt>
                <c:pt idx="474">
                  <c:v>44979</c:v>
                </c:pt>
                <c:pt idx="475">
                  <c:v>44980</c:v>
                </c:pt>
                <c:pt idx="476">
                  <c:v>44981</c:v>
                </c:pt>
                <c:pt idx="477">
                  <c:v>44984</c:v>
                </c:pt>
                <c:pt idx="478">
                  <c:v>44985</c:v>
                </c:pt>
                <c:pt idx="479">
                  <c:v>44986</c:v>
                </c:pt>
                <c:pt idx="480">
                  <c:v>44987</c:v>
                </c:pt>
                <c:pt idx="481">
                  <c:v>44988</c:v>
                </c:pt>
                <c:pt idx="482">
                  <c:v>44991</c:v>
                </c:pt>
                <c:pt idx="483">
                  <c:v>44993</c:v>
                </c:pt>
                <c:pt idx="484">
                  <c:v>44994</c:v>
                </c:pt>
                <c:pt idx="485">
                  <c:v>44995</c:v>
                </c:pt>
                <c:pt idx="486">
                  <c:v>44998</c:v>
                </c:pt>
                <c:pt idx="487">
                  <c:v>44999</c:v>
                </c:pt>
                <c:pt idx="488">
                  <c:v>45000</c:v>
                </c:pt>
                <c:pt idx="489">
                  <c:v>45001</c:v>
                </c:pt>
                <c:pt idx="490">
                  <c:v>45002</c:v>
                </c:pt>
                <c:pt idx="491">
                  <c:v>45005</c:v>
                </c:pt>
                <c:pt idx="492">
                  <c:v>45006</c:v>
                </c:pt>
                <c:pt idx="493">
                  <c:v>45007</c:v>
                </c:pt>
                <c:pt idx="494">
                  <c:v>45008</c:v>
                </c:pt>
                <c:pt idx="495">
                  <c:v>45009</c:v>
                </c:pt>
                <c:pt idx="496">
                  <c:v>45012</c:v>
                </c:pt>
                <c:pt idx="497">
                  <c:v>45013</c:v>
                </c:pt>
                <c:pt idx="498">
                  <c:v>45014</c:v>
                </c:pt>
                <c:pt idx="499">
                  <c:v>45016</c:v>
                </c:pt>
                <c:pt idx="500">
                  <c:v>45019</c:v>
                </c:pt>
                <c:pt idx="501">
                  <c:v>45021</c:v>
                </c:pt>
                <c:pt idx="502">
                  <c:v>45022</c:v>
                </c:pt>
                <c:pt idx="503">
                  <c:v>45026</c:v>
                </c:pt>
                <c:pt idx="504">
                  <c:v>45027</c:v>
                </c:pt>
                <c:pt idx="505">
                  <c:v>45028</c:v>
                </c:pt>
                <c:pt idx="506">
                  <c:v>45029</c:v>
                </c:pt>
                <c:pt idx="507">
                  <c:v>45033</c:v>
                </c:pt>
                <c:pt idx="508">
                  <c:v>45034</c:v>
                </c:pt>
                <c:pt idx="509">
                  <c:v>45035</c:v>
                </c:pt>
                <c:pt idx="510">
                  <c:v>45036</c:v>
                </c:pt>
                <c:pt idx="511">
                  <c:v>45037</c:v>
                </c:pt>
                <c:pt idx="512">
                  <c:v>45040</c:v>
                </c:pt>
                <c:pt idx="513">
                  <c:v>45041</c:v>
                </c:pt>
                <c:pt idx="514">
                  <c:v>45042</c:v>
                </c:pt>
                <c:pt idx="515">
                  <c:v>45043</c:v>
                </c:pt>
                <c:pt idx="516">
                  <c:v>45044</c:v>
                </c:pt>
                <c:pt idx="517">
                  <c:v>45048</c:v>
                </c:pt>
                <c:pt idx="518">
                  <c:v>45049</c:v>
                </c:pt>
                <c:pt idx="519">
                  <c:v>45050</c:v>
                </c:pt>
                <c:pt idx="520">
                  <c:v>45051</c:v>
                </c:pt>
                <c:pt idx="521">
                  <c:v>45054</c:v>
                </c:pt>
                <c:pt idx="522">
                  <c:v>45055</c:v>
                </c:pt>
                <c:pt idx="523">
                  <c:v>45056</c:v>
                </c:pt>
                <c:pt idx="524">
                  <c:v>45057</c:v>
                </c:pt>
                <c:pt idx="525">
                  <c:v>45058</c:v>
                </c:pt>
                <c:pt idx="526">
                  <c:v>45061</c:v>
                </c:pt>
                <c:pt idx="527">
                  <c:v>45062</c:v>
                </c:pt>
                <c:pt idx="528">
                  <c:v>45063</c:v>
                </c:pt>
                <c:pt idx="529">
                  <c:v>45064</c:v>
                </c:pt>
                <c:pt idx="530">
                  <c:v>45065</c:v>
                </c:pt>
                <c:pt idx="531">
                  <c:v>45068</c:v>
                </c:pt>
                <c:pt idx="532">
                  <c:v>45069</c:v>
                </c:pt>
                <c:pt idx="533">
                  <c:v>45070</c:v>
                </c:pt>
                <c:pt idx="534">
                  <c:v>45071</c:v>
                </c:pt>
                <c:pt idx="535">
                  <c:v>45072</c:v>
                </c:pt>
                <c:pt idx="536">
                  <c:v>45075</c:v>
                </c:pt>
                <c:pt idx="537">
                  <c:v>45076</c:v>
                </c:pt>
                <c:pt idx="538">
                  <c:v>45077</c:v>
                </c:pt>
                <c:pt idx="539">
                  <c:v>45078</c:v>
                </c:pt>
                <c:pt idx="540">
                  <c:v>45079</c:v>
                </c:pt>
                <c:pt idx="541">
                  <c:v>45082</c:v>
                </c:pt>
                <c:pt idx="542">
                  <c:v>45083</c:v>
                </c:pt>
                <c:pt idx="543">
                  <c:v>45084</c:v>
                </c:pt>
                <c:pt idx="544">
                  <c:v>45085</c:v>
                </c:pt>
                <c:pt idx="545">
                  <c:v>45086</c:v>
                </c:pt>
                <c:pt idx="546">
                  <c:v>45089</c:v>
                </c:pt>
                <c:pt idx="547">
                  <c:v>45090</c:v>
                </c:pt>
                <c:pt idx="548">
                  <c:v>45091</c:v>
                </c:pt>
                <c:pt idx="549">
                  <c:v>45092</c:v>
                </c:pt>
                <c:pt idx="550">
                  <c:v>45093</c:v>
                </c:pt>
                <c:pt idx="551">
                  <c:v>45096</c:v>
                </c:pt>
                <c:pt idx="552">
                  <c:v>45097</c:v>
                </c:pt>
                <c:pt idx="553">
                  <c:v>45098</c:v>
                </c:pt>
                <c:pt idx="554">
                  <c:v>45099</c:v>
                </c:pt>
                <c:pt idx="555">
                  <c:v>45100</c:v>
                </c:pt>
                <c:pt idx="556">
                  <c:v>45103</c:v>
                </c:pt>
                <c:pt idx="557">
                  <c:v>45104</c:v>
                </c:pt>
                <c:pt idx="558">
                  <c:v>45105</c:v>
                </c:pt>
                <c:pt idx="559">
                  <c:v>45107</c:v>
                </c:pt>
                <c:pt idx="560">
                  <c:v>45110</c:v>
                </c:pt>
                <c:pt idx="561">
                  <c:v>45111</c:v>
                </c:pt>
                <c:pt idx="562">
                  <c:v>45112</c:v>
                </c:pt>
                <c:pt idx="563">
                  <c:v>45113</c:v>
                </c:pt>
                <c:pt idx="564">
                  <c:v>45114</c:v>
                </c:pt>
                <c:pt idx="565">
                  <c:v>45117</c:v>
                </c:pt>
                <c:pt idx="566">
                  <c:v>45118</c:v>
                </c:pt>
                <c:pt idx="567">
                  <c:v>45119</c:v>
                </c:pt>
                <c:pt idx="568">
                  <c:v>45120</c:v>
                </c:pt>
                <c:pt idx="569">
                  <c:v>45121</c:v>
                </c:pt>
                <c:pt idx="570">
                  <c:v>45124</c:v>
                </c:pt>
                <c:pt idx="571">
                  <c:v>45125</c:v>
                </c:pt>
                <c:pt idx="572">
                  <c:v>45126</c:v>
                </c:pt>
                <c:pt idx="573">
                  <c:v>45127</c:v>
                </c:pt>
                <c:pt idx="574">
                  <c:v>45128</c:v>
                </c:pt>
                <c:pt idx="575">
                  <c:v>45131</c:v>
                </c:pt>
                <c:pt idx="576">
                  <c:v>45132</c:v>
                </c:pt>
                <c:pt idx="577">
                  <c:v>45133</c:v>
                </c:pt>
                <c:pt idx="578">
                  <c:v>45134</c:v>
                </c:pt>
                <c:pt idx="579">
                  <c:v>45135</c:v>
                </c:pt>
                <c:pt idx="580">
                  <c:v>45138</c:v>
                </c:pt>
                <c:pt idx="581">
                  <c:v>45139</c:v>
                </c:pt>
                <c:pt idx="582">
                  <c:v>45140</c:v>
                </c:pt>
                <c:pt idx="583">
                  <c:v>45141</c:v>
                </c:pt>
                <c:pt idx="584">
                  <c:v>45142</c:v>
                </c:pt>
                <c:pt idx="585">
                  <c:v>45145</c:v>
                </c:pt>
                <c:pt idx="586">
                  <c:v>45146</c:v>
                </c:pt>
                <c:pt idx="587">
                  <c:v>45147</c:v>
                </c:pt>
                <c:pt idx="588">
                  <c:v>45148</c:v>
                </c:pt>
                <c:pt idx="589">
                  <c:v>45149</c:v>
                </c:pt>
                <c:pt idx="590">
                  <c:v>45152</c:v>
                </c:pt>
                <c:pt idx="591">
                  <c:v>45154</c:v>
                </c:pt>
                <c:pt idx="592">
                  <c:v>45155</c:v>
                </c:pt>
                <c:pt idx="593">
                  <c:v>45156</c:v>
                </c:pt>
                <c:pt idx="594">
                  <c:v>45159</c:v>
                </c:pt>
                <c:pt idx="595">
                  <c:v>45160</c:v>
                </c:pt>
                <c:pt idx="596">
                  <c:v>45161</c:v>
                </c:pt>
                <c:pt idx="597">
                  <c:v>45162</c:v>
                </c:pt>
                <c:pt idx="598">
                  <c:v>45163</c:v>
                </c:pt>
                <c:pt idx="599">
                  <c:v>45166</c:v>
                </c:pt>
                <c:pt idx="600">
                  <c:v>45167</c:v>
                </c:pt>
                <c:pt idx="601">
                  <c:v>45168</c:v>
                </c:pt>
                <c:pt idx="602">
                  <c:v>45169</c:v>
                </c:pt>
                <c:pt idx="603">
                  <c:v>45170</c:v>
                </c:pt>
                <c:pt idx="604">
                  <c:v>45173</c:v>
                </c:pt>
                <c:pt idx="605">
                  <c:v>45174</c:v>
                </c:pt>
                <c:pt idx="606">
                  <c:v>45175</c:v>
                </c:pt>
                <c:pt idx="607">
                  <c:v>45176</c:v>
                </c:pt>
                <c:pt idx="608">
                  <c:v>45177</c:v>
                </c:pt>
                <c:pt idx="609">
                  <c:v>45180</c:v>
                </c:pt>
                <c:pt idx="610">
                  <c:v>45181</c:v>
                </c:pt>
                <c:pt idx="611">
                  <c:v>45182</c:v>
                </c:pt>
                <c:pt idx="612">
                  <c:v>45183</c:v>
                </c:pt>
                <c:pt idx="613">
                  <c:v>45184</c:v>
                </c:pt>
                <c:pt idx="614">
                  <c:v>45187</c:v>
                </c:pt>
                <c:pt idx="615">
                  <c:v>45189</c:v>
                </c:pt>
                <c:pt idx="616">
                  <c:v>45190</c:v>
                </c:pt>
                <c:pt idx="617">
                  <c:v>45191</c:v>
                </c:pt>
                <c:pt idx="618">
                  <c:v>45194</c:v>
                </c:pt>
                <c:pt idx="619">
                  <c:v>45195</c:v>
                </c:pt>
                <c:pt idx="620">
                  <c:v>45196</c:v>
                </c:pt>
                <c:pt idx="621">
                  <c:v>45197</c:v>
                </c:pt>
                <c:pt idx="622">
                  <c:v>45198</c:v>
                </c:pt>
                <c:pt idx="623">
                  <c:v>45202</c:v>
                </c:pt>
                <c:pt idx="624">
                  <c:v>45203</c:v>
                </c:pt>
                <c:pt idx="625">
                  <c:v>45204</c:v>
                </c:pt>
                <c:pt idx="626">
                  <c:v>45205</c:v>
                </c:pt>
                <c:pt idx="627">
                  <c:v>45208</c:v>
                </c:pt>
                <c:pt idx="628">
                  <c:v>45209</c:v>
                </c:pt>
                <c:pt idx="629">
                  <c:v>45210</c:v>
                </c:pt>
                <c:pt idx="630">
                  <c:v>45211</c:v>
                </c:pt>
                <c:pt idx="631">
                  <c:v>45212</c:v>
                </c:pt>
                <c:pt idx="632">
                  <c:v>45215</c:v>
                </c:pt>
                <c:pt idx="633">
                  <c:v>45216</c:v>
                </c:pt>
                <c:pt idx="634">
                  <c:v>45217</c:v>
                </c:pt>
                <c:pt idx="635">
                  <c:v>45218</c:v>
                </c:pt>
                <c:pt idx="636">
                  <c:v>45219</c:v>
                </c:pt>
                <c:pt idx="637">
                  <c:v>45222</c:v>
                </c:pt>
                <c:pt idx="638">
                  <c:v>45224</c:v>
                </c:pt>
                <c:pt idx="639">
                  <c:v>45225</c:v>
                </c:pt>
                <c:pt idx="640">
                  <c:v>45226</c:v>
                </c:pt>
                <c:pt idx="641">
                  <c:v>45229</c:v>
                </c:pt>
                <c:pt idx="642">
                  <c:v>45230</c:v>
                </c:pt>
                <c:pt idx="643">
                  <c:v>45231</c:v>
                </c:pt>
                <c:pt idx="644">
                  <c:v>45232</c:v>
                </c:pt>
                <c:pt idx="645">
                  <c:v>45233</c:v>
                </c:pt>
                <c:pt idx="646">
                  <c:v>45236</c:v>
                </c:pt>
                <c:pt idx="647">
                  <c:v>45237</c:v>
                </c:pt>
                <c:pt idx="648">
                  <c:v>45238</c:v>
                </c:pt>
                <c:pt idx="649">
                  <c:v>45239</c:v>
                </c:pt>
                <c:pt idx="650">
                  <c:v>45240</c:v>
                </c:pt>
                <c:pt idx="651">
                  <c:v>45242</c:v>
                </c:pt>
                <c:pt idx="652">
                  <c:v>45243</c:v>
                </c:pt>
                <c:pt idx="653">
                  <c:v>45245</c:v>
                </c:pt>
                <c:pt idx="654">
                  <c:v>45246</c:v>
                </c:pt>
                <c:pt idx="655">
                  <c:v>45247</c:v>
                </c:pt>
                <c:pt idx="656">
                  <c:v>45250</c:v>
                </c:pt>
                <c:pt idx="657">
                  <c:v>45251</c:v>
                </c:pt>
                <c:pt idx="658">
                  <c:v>45252</c:v>
                </c:pt>
                <c:pt idx="659">
                  <c:v>45253</c:v>
                </c:pt>
                <c:pt idx="660">
                  <c:v>45254</c:v>
                </c:pt>
                <c:pt idx="661">
                  <c:v>45258</c:v>
                </c:pt>
                <c:pt idx="662">
                  <c:v>45259</c:v>
                </c:pt>
                <c:pt idx="663">
                  <c:v>45260</c:v>
                </c:pt>
                <c:pt idx="664">
                  <c:v>45261</c:v>
                </c:pt>
                <c:pt idx="665">
                  <c:v>45264</c:v>
                </c:pt>
                <c:pt idx="666">
                  <c:v>45265</c:v>
                </c:pt>
                <c:pt idx="667">
                  <c:v>45266</c:v>
                </c:pt>
                <c:pt idx="668">
                  <c:v>45267</c:v>
                </c:pt>
                <c:pt idx="669">
                  <c:v>45268</c:v>
                </c:pt>
                <c:pt idx="670">
                  <c:v>45271</c:v>
                </c:pt>
                <c:pt idx="671">
                  <c:v>45272</c:v>
                </c:pt>
                <c:pt idx="672">
                  <c:v>45273</c:v>
                </c:pt>
                <c:pt idx="673">
                  <c:v>45274</c:v>
                </c:pt>
                <c:pt idx="674">
                  <c:v>45275</c:v>
                </c:pt>
                <c:pt idx="675">
                  <c:v>45278</c:v>
                </c:pt>
                <c:pt idx="676">
                  <c:v>45279</c:v>
                </c:pt>
                <c:pt idx="677">
                  <c:v>45280</c:v>
                </c:pt>
                <c:pt idx="678">
                  <c:v>45281</c:v>
                </c:pt>
                <c:pt idx="679">
                  <c:v>45282</c:v>
                </c:pt>
                <c:pt idx="680">
                  <c:v>45286</c:v>
                </c:pt>
                <c:pt idx="681">
                  <c:v>45287</c:v>
                </c:pt>
                <c:pt idx="682">
                  <c:v>45288</c:v>
                </c:pt>
                <c:pt idx="683">
                  <c:v>45289</c:v>
                </c:pt>
                <c:pt idx="684">
                  <c:v>45292</c:v>
                </c:pt>
                <c:pt idx="685">
                  <c:v>45293</c:v>
                </c:pt>
                <c:pt idx="686">
                  <c:v>45294</c:v>
                </c:pt>
                <c:pt idx="687">
                  <c:v>45295</c:v>
                </c:pt>
                <c:pt idx="688">
                  <c:v>45296</c:v>
                </c:pt>
                <c:pt idx="689">
                  <c:v>45299</c:v>
                </c:pt>
                <c:pt idx="690">
                  <c:v>45300</c:v>
                </c:pt>
                <c:pt idx="691">
                  <c:v>45301</c:v>
                </c:pt>
                <c:pt idx="692">
                  <c:v>45302</c:v>
                </c:pt>
                <c:pt idx="693">
                  <c:v>45303</c:v>
                </c:pt>
                <c:pt idx="694">
                  <c:v>45306</c:v>
                </c:pt>
                <c:pt idx="695">
                  <c:v>45307</c:v>
                </c:pt>
                <c:pt idx="696">
                  <c:v>45308</c:v>
                </c:pt>
                <c:pt idx="697">
                  <c:v>45309</c:v>
                </c:pt>
                <c:pt idx="698">
                  <c:v>45310</c:v>
                </c:pt>
                <c:pt idx="699">
                  <c:v>45311</c:v>
                </c:pt>
                <c:pt idx="700">
                  <c:v>45314</c:v>
                </c:pt>
                <c:pt idx="701">
                  <c:v>45315</c:v>
                </c:pt>
                <c:pt idx="702">
                  <c:v>45316</c:v>
                </c:pt>
                <c:pt idx="703">
                  <c:v>45320</c:v>
                </c:pt>
                <c:pt idx="704">
                  <c:v>45321</c:v>
                </c:pt>
                <c:pt idx="705">
                  <c:v>45322</c:v>
                </c:pt>
                <c:pt idx="706">
                  <c:v>45323</c:v>
                </c:pt>
                <c:pt idx="707">
                  <c:v>45324</c:v>
                </c:pt>
                <c:pt idx="708">
                  <c:v>45327</c:v>
                </c:pt>
                <c:pt idx="709">
                  <c:v>45328</c:v>
                </c:pt>
                <c:pt idx="710">
                  <c:v>45329</c:v>
                </c:pt>
                <c:pt idx="711">
                  <c:v>45330</c:v>
                </c:pt>
                <c:pt idx="712">
                  <c:v>45331</c:v>
                </c:pt>
                <c:pt idx="713">
                  <c:v>45334</c:v>
                </c:pt>
                <c:pt idx="714">
                  <c:v>45335</c:v>
                </c:pt>
                <c:pt idx="715">
                  <c:v>45336</c:v>
                </c:pt>
                <c:pt idx="716">
                  <c:v>45337</c:v>
                </c:pt>
                <c:pt idx="717">
                  <c:v>45338</c:v>
                </c:pt>
                <c:pt idx="718">
                  <c:v>45341</c:v>
                </c:pt>
                <c:pt idx="719">
                  <c:v>45342</c:v>
                </c:pt>
                <c:pt idx="720">
                  <c:v>45343</c:v>
                </c:pt>
                <c:pt idx="721">
                  <c:v>45344</c:v>
                </c:pt>
                <c:pt idx="722">
                  <c:v>45345</c:v>
                </c:pt>
                <c:pt idx="723">
                  <c:v>45348</c:v>
                </c:pt>
                <c:pt idx="724">
                  <c:v>45349</c:v>
                </c:pt>
                <c:pt idx="725">
                  <c:v>45350</c:v>
                </c:pt>
                <c:pt idx="726">
                  <c:v>45351</c:v>
                </c:pt>
                <c:pt idx="727">
                  <c:v>45352</c:v>
                </c:pt>
                <c:pt idx="728">
                  <c:v>45353</c:v>
                </c:pt>
                <c:pt idx="729">
                  <c:v>45355</c:v>
                </c:pt>
                <c:pt idx="730">
                  <c:v>45356</c:v>
                </c:pt>
                <c:pt idx="731">
                  <c:v>45357</c:v>
                </c:pt>
                <c:pt idx="732">
                  <c:v>45358</c:v>
                </c:pt>
                <c:pt idx="733">
                  <c:v>45362</c:v>
                </c:pt>
                <c:pt idx="734">
                  <c:v>45363</c:v>
                </c:pt>
                <c:pt idx="735">
                  <c:v>45364</c:v>
                </c:pt>
                <c:pt idx="736">
                  <c:v>45365</c:v>
                </c:pt>
                <c:pt idx="737">
                  <c:v>45366</c:v>
                </c:pt>
                <c:pt idx="738">
                  <c:v>45369</c:v>
                </c:pt>
                <c:pt idx="739">
                  <c:v>45370</c:v>
                </c:pt>
                <c:pt idx="740">
                  <c:v>45371</c:v>
                </c:pt>
                <c:pt idx="741">
                  <c:v>45372</c:v>
                </c:pt>
                <c:pt idx="742">
                  <c:v>45373</c:v>
                </c:pt>
                <c:pt idx="743">
                  <c:v>45377</c:v>
                </c:pt>
                <c:pt idx="744">
                  <c:v>45378</c:v>
                </c:pt>
                <c:pt idx="745">
                  <c:v>45379</c:v>
                </c:pt>
                <c:pt idx="746">
                  <c:v>45383</c:v>
                </c:pt>
                <c:pt idx="747">
                  <c:v>45384</c:v>
                </c:pt>
                <c:pt idx="748">
                  <c:v>45385</c:v>
                </c:pt>
                <c:pt idx="749">
                  <c:v>45386</c:v>
                </c:pt>
                <c:pt idx="750">
                  <c:v>45387</c:v>
                </c:pt>
                <c:pt idx="751">
                  <c:v>45390</c:v>
                </c:pt>
                <c:pt idx="752">
                  <c:v>45391</c:v>
                </c:pt>
                <c:pt idx="753">
                  <c:v>45392</c:v>
                </c:pt>
                <c:pt idx="754">
                  <c:v>45394</c:v>
                </c:pt>
                <c:pt idx="755">
                  <c:v>45397</c:v>
                </c:pt>
                <c:pt idx="756">
                  <c:v>45398</c:v>
                </c:pt>
                <c:pt idx="757">
                  <c:v>45400</c:v>
                </c:pt>
                <c:pt idx="758">
                  <c:v>45401</c:v>
                </c:pt>
                <c:pt idx="759">
                  <c:v>45404</c:v>
                </c:pt>
                <c:pt idx="760">
                  <c:v>45405</c:v>
                </c:pt>
                <c:pt idx="761">
                  <c:v>45406</c:v>
                </c:pt>
                <c:pt idx="762">
                  <c:v>45407</c:v>
                </c:pt>
                <c:pt idx="763">
                  <c:v>45408</c:v>
                </c:pt>
                <c:pt idx="764">
                  <c:v>45411</c:v>
                </c:pt>
                <c:pt idx="765">
                  <c:v>45412</c:v>
                </c:pt>
                <c:pt idx="766">
                  <c:v>45414</c:v>
                </c:pt>
                <c:pt idx="767">
                  <c:v>45415</c:v>
                </c:pt>
                <c:pt idx="768">
                  <c:v>45418</c:v>
                </c:pt>
                <c:pt idx="769">
                  <c:v>45419</c:v>
                </c:pt>
                <c:pt idx="770">
                  <c:v>45420</c:v>
                </c:pt>
                <c:pt idx="771">
                  <c:v>45421</c:v>
                </c:pt>
                <c:pt idx="772">
                  <c:v>45422</c:v>
                </c:pt>
                <c:pt idx="773">
                  <c:v>45425</c:v>
                </c:pt>
                <c:pt idx="774">
                  <c:v>45426</c:v>
                </c:pt>
                <c:pt idx="775">
                  <c:v>45427</c:v>
                </c:pt>
                <c:pt idx="776">
                  <c:v>45428</c:v>
                </c:pt>
                <c:pt idx="777">
                  <c:v>45429</c:v>
                </c:pt>
                <c:pt idx="778">
                  <c:v>45430</c:v>
                </c:pt>
                <c:pt idx="779">
                  <c:v>45433</c:v>
                </c:pt>
                <c:pt idx="780">
                  <c:v>45434</c:v>
                </c:pt>
                <c:pt idx="781">
                  <c:v>45435</c:v>
                </c:pt>
                <c:pt idx="782">
                  <c:v>45436</c:v>
                </c:pt>
                <c:pt idx="783">
                  <c:v>45439</c:v>
                </c:pt>
                <c:pt idx="784">
                  <c:v>45440</c:v>
                </c:pt>
                <c:pt idx="785">
                  <c:v>45441</c:v>
                </c:pt>
                <c:pt idx="786">
                  <c:v>45442</c:v>
                </c:pt>
                <c:pt idx="787">
                  <c:v>45443</c:v>
                </c:pt>
                <c:pt idx="788">
                  <c:v>45446</c:v>
                </c:pt>
                <c:pt idx="789">
                  <c:v>45447</c:v>
                </c:pt>
                <c:pt idx="790">
                  <c:v>45448</c:v>
                </c:pt>
                <c:pt idx="791">
                  <c:v>45449</c:v>
                </c:pt>
                <c:pt idx="792">
                  <c:v>45450</c:v>
                </c:pt>
                <c:pt idx="793">
                  <c:v>45453</c:v>
                </c:pt>
                <c:pt idx="794">
                  <c:v>45454</c:v>
                </c:pt>
                <c:pt idx="795">
                  <c:v>45455</c:v>
                </c:pt>
                <c:pt idx="796">
                  <c:v>45456</c:v>
                </c:pt>
                <c:pt idx="797">
                  <c:v>45457</c:v>
                </c:pt>
                <c:pt idx="798">
                  <c:v>45461</c:v>
                </c:pt>
                <c:pt idx="799">
                  <c:v>45462</c:v>
                </c:pt>
                <c:pt idx="800">
                  <c:v>45463</c:v>
                </c:pt>
                <c:pt idx="801">
                  <c:v>45464</c:v>
                </c:pt>
                <c:pt idx="802">
                  <c:v>45467</c:v>
                </c:pt>
                <c:pt idx="803">
                  <c:v>45468</c:v>
                </c:pt>
                <c:pt idx="804">
                  <c:v>45469</c:v>
                </c:pt>
                <c:pt idx="805">
                  <c:v>45470</c:v>
                </c:pt>
                <c:pt idx="806">
                  <c:v>45471</c:v>
                </c:pt>
                <c:pt idx="807">
                  <c:v>45474</c:v>
                </c:pt>
                <c:pt idx="808">
                  <c:v>45475</c:v>
                </c:pt>
                <c:pt idx="809">
                  <c:v>45476</c:v>
                </c:pt>
                <c:pt idx="810">
                  <c:v>45477</c:v>
                </c:pt>
                <c:pt idx="811">
                  <c:v>45478</c:v>
                </c:pt>
                <c:pt idx="812">
                  <c:v>45481</c:v>
                </c:pt>
                <c:pt idx="813">
                  <c:v>45482</c:v>
                </c:pt>
                <c:pt idx="814">
                  <c:v>45483</c:v>
                </c:pt>
                <c:pt idx="815">
                  <c:v>45484</c:v>
                </c:pt>
                <c:pt idx="816">
                  <c:v>45485</c:v>
                </c:pt>
                <c:pt idx="817">
                  <c:v>45488</c:v>
                </c:pt>
                <c:pt idx="818">
                  <c:v>45489</c:v>
                </c:pt>
                <c:pt idx="819">
                  <c:v>45491</c:v>
                </c:pt>
                <c:pt idx="820">
                  <c:v>45492</c:v>
                </c:pt>
                <c:pt idx="821">
                  <c:v>45495</c:v>
                </c:pt>
                <c:pt idx="822">
                  <c:v>45496</c:v>
                </c:pt>
                <c:pt idx="823">
                  <c:v>45497</c:v>
                </c:pt>
                <c:pt idx="824">
                  <c:v>45498</c:v>
                </c:pt>
                <c:pt idx="825">
                  <c:v>45499</c:v>
                </c:pt>
                <c:pt idx="826">
                  <c:v>45502</c:v>
                </c:pt>
                <c:pt idx="827">
                  <c:v>45503</c:v>
                </c:pt>
                <c:pt idx="828">
                  <c:v>45504</c:v>
                </c:pt>
                <c:pt idx="829">
                  <c:v>45505</c:v>
                </c:pt>
                <c:pt idx="830">
                  <c:v>45506</c:v>
                </c:pt>
                <c:pt idx="831">
                  <c:v>45509</c:v>
                </c:pt>
                <c:pt idx="832">
                  <c:v>45510</c:v>
                </c:pt>
                <c:pt idx="833">
                  <c:v>45511</c:v>
                </c:pt>
                <c:pt idx="834">
                  <c:v>45512</c:v>
                </c:pt>
                <c:pt idx="835">
                  <c:v>45513</c:v>
                </c:pt>
                <c:pt idx="836">
                  <c:v>45516</c:v>
                </c:pt>
                <c:pt idx="837">
                  <c:v>45517</c:v>
                </c:pt>
                <c:pt idx="838">
                  <c:v>45518</c:v>
                </c:pt>
                <c:pt idx="839">
                  <c:v>45520</c:v>
                </c:pt>
                <c:pt idx="840">
                  <c:v>45523</c:v>
                </c:pt>
                <c:pt idx="841">
                  <c:v>45524</c:v>
                </c:pt>
                <c:pt idx="842">
                  <c:v>45525</c:v>
                </c:pt>
                <c:pt idx="843">
                  <c:v>45526</c:v>
                </c:pt>
                <c:pt idx="844">
                  <c:v>45527</c:v>
                </c:pt>
                <c:pt idx="845">
                  <c:v>45530</c:v>
                </c:pt>
                <c:pt idx="846">
                  <c:v>45531</c:v>
                </c:pt>
                <c:pt idx="847">
                  <c:v>45532</c:v>
                </c:pt>
                <c:pt idx="848">
                  <c:v>45533</c:v>
                </c:pt>
                <c:pt idx="849">
                  <c:v>45534</c:v>
                </c:pt>
                <c:pt idx="850">
                  <c:v>45537</c:v>
                </c:pt>
                <c:pt idx="851">
                  <c:v>45538</c:v>
                </c:pt>
                <c:pt idx="852">
                  <c:v>45539</c:v>
                </c:pt>
                <c:pt idx="853">
                  <c:v>45540</c:v>
                </c:pt>
                <c:pt idx="854">
                  <c:v>45541</c:v>
                </c:pt>
                <c:pt idx="855">
                  <c:v>45544</c:v>
                </c:pt>
                <c:pt idx="856">
                  <c:v>45545</c:v>
                </c:pt>
                <c:pt idx="857">
                  <c:v>45546</c:v>
                </c:pt>
                <c:pt idx="858">
                  <c:v>45547</c:v>
                </c:pt>
                <c:pt idx="859">
                  <c:v>45548</c:v>
                </c:pt>
                <c:pt idx="860">
                  <c:v>45551</c:v>
                </c:pt>
                <c:pt idx="861">
                  <c:v>45552</c:v>
                </c:pt>
                <c:pt idx="862">
                  <c:v>45553</c:v>
                </c:pt>
                <c:pt idx="863">
                  <c:v>45554</c:v>
                </c:pt>
                <c:pt idx="864">
                  <c:v>45555</c:v>
                </c:pt>
                <c:pt idx="865">
                  <c:v>45558</c:v>
                </c:pt>
                <c:pt idx="866">
                  <c:v>45559</c:v>
                </c:pt>
                <c:pt idx="867">
                  <c:v>45560</c:v>
                </c:pt>
                <c:pt idx="868">
                  <c:v>45561</c:v>
                </c:pt>
                <c:pt idx="869">
                  <c:v>45562</c:v>
                </c:pt>
                <c:pt idx="870">
                  <c:v>45565</c:v>
                </c:pt>
                <c:pt idx="871">
                  <c:v>45566</c:v>
                </c:pt>
                <c:pt idx="872">
                  <c:v>45568</c:v>
                </c:pt>
                <c:pt idx="873">
                  <c:v>45569</c:v>
                </c:pt>
                <c:pt idx="874">
                  <c:v>45572</c:v>
                </c:pt>
                <c:pt idx="875">
                  <c:v>45573</c:v>
                </c:pt>
                <c:pt idx="876">
                  <c:v>45574</c:v>
                </c:pt>
                <c:pt idx="877">
                  <c:v>45575</c:v>
                </c:pt>
                <c:pt idx="878">
                  <c:v>45576</c:v>
                </c:pt>
                <c:pt idx="879">
                  <c:v>45579</c:v>
                </c:pt>
                <c:pt idx="880">
                  <c:v>45580</c:v>
                </c:pt>
                <c:pt idx="881">
                  <c:v>45581</c:v>
                </c:pt>
                <c:pt idx="882">
                  <c:v>45582</c:v>
                </c:pt>
                <c:pt idx="883">
                  <c:v>45583</c:v>
                </c:pt>
                <c:pt idx="884">
                  <c:v>45586</c:v>
                </c:pt>
                <c:pt idx="885">
                  <c:v>45587</c:v>
                </c:pt>
                <c:pt idx="886">
                  <c:v>45588</c:v>
                </c:pt>
                <c:pt idx="887">
                  <c:v>45589</c:v>
                </c:pt>
                <c:pt idx="888">
                  <c:v>45590</c:v>
                </c:pt>
                <c:pt idx="889">
                  <c:v>45593</c:v>
                </c:pt>
                <c:pt idx="890">
                  <c:v>45594</c:v>
                </c:pt>
                <c:pt idx="891">
                  <c:v>45595</c:v>
                </c:pt>
                <c:pt idx="892">
                  <c:v>45596</c:v>
                </c:pt>
                <c:pt idx="893">
                  <c:v>45597</c:v>
                </c:pt>
                <c:pt idx="894">
                  <c:v>45600</c:v>
                </c:pt>
                <c:pt idx="895">
                  <c:v>45601</c:v>
                </c:pt>
                <c:pt idx="896">
                  <c:v>45602</c:v>
                </c:pt>
                <c:pt idx="897">
                  <c:v>45603</c:v>
                </c:pt>
                <c:pt idx="898">
                  <c:v>45604</c:v>
                </c:pt>
                <c:pt idx="899">
                  <c:v>45607</c:v>
                </c:pt>
                <c:pt idx="900">
                  <c:v>45608</c:v>
                </c:pt>
                <c:pt idx="901">
                  <c:v>45609</c:v>
                </c:pt>
                <c:pt idx="902">
                  <c:v>45610</c:v>
                </c:pt>
                <c:pt idx="903">
                  <c:v>45614</c:v>
                </c:pt>
                <c:pt idx="904">
                  <c:v>45615</c:v>
                </c:pt>
                <c:pt idx="905">
                  <c:v>45617</c:v>
                </c:pt>
                <c:pt idx="906">
                  <c:v>45618</c:v>
                </c:pt>
                <c:pt idx="907">
                  <c:v>45621</c:v>
                </c:pt>
                <c:pt idx="908">
                  <c:v>45622</c:v>
                </c:pt>
                <c:pt idx="909">
                  <c:v>45623</c:v>
                </c:pt>
                <c:pt idx="910">
                  <c:v>45624</c:v>
                </c:pt>
                <c:pt idx="911">
                  <c:v>45625</c:v>
                </c:pt>
                <c:pt idx="912">
                  <c:v>45628</c:v>
                </c:pt>
                <c:pt idx="913">
                  <c:v>45629</c:v>
                </c:pt>
                <c:pt idx="914">
                  <c:v>45630</c:v>
                </c:pt>
                <c:pt idx="915">
                  <c:v>45631</c:v>
                </c:pt>
                <c:pt idx="916">
                  <c:v>45632</c:v>
                </c:pt>
                <c:pt idx="917">
                  <c:v>45635</c:v>
                </c:pt>
                <c:pt idx="918">
                  <c:v>45636</c:v>
                </c:pt>
                <c:pt idx="919">
                  <c:v>45637</c:v>
                </c:pt>
                <c:pt idx="920">
                  <c:v>45638</c:v>
                </c:pt>
                <c:pt idx="921">
                  <c:v>45639</c:v>
                </c:pt>
                <c:pt idx="922">
                  <c:v>45642</c:v>
                </c:pt>
                <c:pt idx="923">
                  <c:v>45643</c:v>
                </c:pt>
                <c:pt idx="924">
                  <c:v>45644</c:v>
                </c:pt>
                <c:pt idx="925">
                  <c:v>45645</c:v>
                </c:pt>
                <c:pt idx="926">
                  <c:v>45646</c:v>
                </c:pt>
                <c:pt idx="927">
                  <c:v>45649</c:v>
                </c:pt>
                <c:pt idx="928">
                  <c:v>45650</c:v>
                </c:pt>
                <c:pt idx="929">
                  <c:v>45652</c:v>
                </c:pt>
                <c:pt idx="930">
                  <c:v>45653</c:v>
                </c:pt>
                <c:pt idx="931">
                  <c:v>45656</c:v>
                </c:pt>
                <c:pt idx="932">
                  <c:v>45657</c:v>
                </c:pt>
                <c:pt idx="933">
                  <c:v>45658</c:v>
                </c:pt>
                <c:pt idx="934">
                  <c:v>45659</c:v>
                </c:pt>
                <c:pt idx="935">
                  <c:v>45660</c:v>
                </c:pt>
                <c:pt idx="936">
                  <c:v>45663</c:v>
                </c:pt>
                <c:pt idx="937">
                  <c:v>45664</c:v>
                </c:pt>
                <c:pt idx="938">
                  <c:v>45665</c:v>
                </c:pt>
                <c:pt idx="939">
                  <c:v>45666</c:v>
                </c:pt>
                <c:pt idx="940">
                  <c:v>45667</c:v>
                </c:pt>
                <c:pt idx="941">
                  <c:v>45670</c:v>
                </c:pt>
                <c:pt idx="942">
                  <c:v>45671</c:v>
                </c:pt>
                <c:pt idx="943">
                  <c:v>45672</c:v>
                </c:pt>
                <c:pt idx="944">
                  <c:v>45673</c:v>
                </c:pt>
                <c:pt idx="945">
                  <c:v>45674</c:v>
                </c:pt>
                <c:pt idx="946">
                  <c:v>45677</c:v>
                </c:pt>
                <c:pt idx="947">
                  <c:v>45678</c:v>
                </c:pt>
                <c:pt idx="948">
                  <c:v>45679</c:v>
                </c:pt>
                <c:pt idx="949">
                  <c:v>45680</c:v>
                </c:pt>
                <c:pt idx="950">
                  <c:v>45681</c:v>
                </c:pt>
                <c:pt idx="951">
                  <c:v>45684</c:v>
                </c:pt>
                <c:pt idx="952">
                  <c:v>45685</c:v>
                </c:pt>
                <c:pt idx="953">
                  <c:v>45686</c:v>
                </c:pt>
                <c:pt idx="954">
                  <c:v>45687</c:v>
                </c:pt>
                <c:pt idx="955">
                  <c:v>45688</c:v>
                </c:pt>
                <c:pt idx="956">
                  <c:v>45689</c:v>
                </c:pt>
                <c:pt idx="957">
                  <c:v>45691</c:v>
                </c:pt>
                <c:pt idx="958">
                  <c:v>45692</c:v>
                </c:pt>
                <c:pt idx="959">
                  <c:v>45693</c:v>
                </c:pt>
                <c:pt idx="960">
                  <c:v>45694</c:v>
                </c:pt>
                <c:pt idx="961">
                  <c:v>45695</c:v>
                </c:pt>
                <c:pt idx="962">
                  <c:v>45698</c:v>
                </c:pt>
                <c:pt idx="963">
                  <c:v>45699</c:v>
                </c:pt>
                <c:pt idx="964">
                  <c:v>45700</c:v>
                </c:pt>
                <c:pt idx="965">
                  <c:v>45701</c:v>
                </c:pt>
                <c:pt idx="966">
                  <c:v>45702</c:v>
                </c:pt>
                <c:pt idx="967">
                  <c:v>45705</c:v>
                </c:pt>
                <c:pt idx="968">
                  <c:v>45706</c:v>
                </c:pt>
                <c:pt idx="969">
                  <c:v>45707</c:v>
                </c:pt>
                <c:pt idx="970">
                  <c:v>45708</c:v>
                </c:pt>
                <c:pt idx="971">
                  <c:v>45709</c:v>
                </c:pt>
                <c:pt idx="972">
                  <c:v>45712</c:v>
                </c:pt>
                <c:pt idx="973">
                  <c:v>45713</c:v>
                </c:pt>
                <c:pt idx="974">
                  <c:v>45715</c:v>
                </c:pt>
                <c:pt idx="975">
                  <c:v>45716</c:v>
                </c:pt>
                <c:pt idx="976">
                  <c:v>45719</c:v>
                </c:pt>
                <c:pt idx="977">
                  <c:v>45720</c:v>
                </c:pt>
                <c:pt idx="978">
                  <c:v>45721</c:v>
                </c:pt>
                <c:pt idx="979">
                  <c:v>45722</c:v>
                </c:pt>
                <c:pt idx="980">
                  <c:v>45723</c:v>
                </c:pt>
                <c:pt idx="981">
                  <c:v>45726</c:v>
                </c:pt>
                <c:pt idx="982">
                  <c:v>45727</c:v>
                </c:pt>
                <c:pt idx="983">
                  <c:v>45728</c:v>
                </c:pt>
                <c:pt idx="984">
                  <c:v>45729</c:v>
                </c:pt>
                <c:pt idx="985">
                  <c:v>45733</c:v>
                </c:pt>
                <c:pt idx="986">
                  <c:v>45734</c:v>
                </c:pt>
                <c:pt idx="987">
                  <c:v>45735</c:v>
                </c:pt>
                <c:pt idx="988">
                  <c:v>45736</c:v>
                </c:pt>
                <c:pt idx="989">
                  <c:v>45737</c:v>
                </c:pt>
                <c:pt idx="990">
                  <c:v>45740</c:v>
                </c:pt>
                <c:pt idx="991">
                  <c:v>45741</c:v>
                </c:pt>
                <c:pt idx="992">
                  <c:v>45742</c:v>
                </c:pt>
                <c:pt idx="993">
                  <c:v>45743</c:v>
                </c:pt>
                <c:pt idx="994">
                  <c:v>45744</c:v>
                </c:pt>
                <c:pt idx="995">
                  <c:v>45748</c:v>
                </c:pt>
                <c:pt idx="996">
                  <c:v>45749</c:v>
                </c:pt>
                <c:pt idx="997">
                  <c:v>45750</c:v>
                </c:pt>
                <c:pt idx="998">
                  <c:v>45751</c:v>
                </c:pt>
                <c:pt idx="999">
                  <c:v>45754</c:v>
                </c:pt>
                <c:pt idx="1000">
                  <c:v>45755</c:v>
                </c:pt>
                <c:pt idx="1001">
                  <c:v>45756</c:v>
                </c:pt>
                <c:pt idx="1002">
                  <c:v>45758</c:v>
                </c:pt>
                <c:pt idx="1003">
                  <c:v>45762</c:v>
                </c:pt>
                <c:pt idx="1004">
                  <c:v>45763</c:v>
                </c:pt>
                <c:pt idx="1005">
                  <c:v>45764</c:v>
                </c:pt>
                <c:pt idx="1006">
                  <c:v>45768</c:v>
                </c:pt>
                <c:pt idx="1007">
                  <c:v>45769</c:v>
                </c:pt>
                <c:pt idx="1008">
                  <c:v>45770</c:v>
                </c:pt>
                <c:pt idx="1009">
                  <c:v>45771</c:v>
                </c:pt>
                <c:pt idx="1010">
                  <c:v>45772</c:v>
                </c:pt>
                <c:pt idx="1011">
                  <c:v>45775</c:v>
                </c:pt>
                <c:pt idx="1012">
                  <c:v>45776</c:v>
                </c:pt>
                <c:pt idx="1013">
                  <c:v>45777</c:v>
                </c:pt>
                <c:pt idx="1014">
                  <c:v>45779</c:v>
                </c:pt>
                <c:pt idx="1015">
                  <c:v>45782</c:v>
                </c:pt>
                <c:pt idx="1016">
                  <c:v>45783</c:v>
                </c:pt>
                <c:pt idx="1017">
                  <c:v>45784</c:v>
                </c:pt>
                <c:pt idx="1018">
                  <c:v>45785</c:v>
                </c:pt>
                <c:pt idx="1019">
                  <c:v>45786</c:v>
                </c:pt>
                <c:pt idx="1020">
                  <c:v>45789</c:v>
                </c:pt>
                <c:pt idx="1021">
                  <c:v>45790</c:v>
                </c:pt>
                <c:pt idx="1022">
                  <c:v>45791</c:v>
                </c:pt>
                <c:pt idx="1023">
                  <c:v>45792</c:v>
                </c:pt>
                <c:pt idx="1024">
                  <c:v>45793</c:v>
                </c:pt>
                <c:pt idx="1025">
                  <c:v>45796</c:v>
                </c:pt>
                <c:pt idx="1026">
                  <c:v>45797</c:v>
                </c:pt>
                <c:pt idx="1027">
                  <c:v>45798</c:v>
                </c:pt>
                <c:pt idx="1028">
                  <c:v>45799</c:v>
                </c:pt>
                <c:pt idx="1029">
                  <c:v>45800</c:v>
                </c:pt>
                <c:pt idx="1030">
                  <c:v>45803</c:v>
                </c:pt>
                <c:pt idx="1031">
                  <c:v>45804</c:v>
                </c:pt>
                <c:pt idx="1032">
                  <c:v>45805</c:v>
                </c:pt>
                <c:pt idx="1033">
                  <c:v>45806</c:v>
                </c:pt>
                <c:pt idx="1034">
                  <c:v>45807</c:v>
                </c:pt>
                <c:pt idx="1035">
                  <c:v>45810</c:v>
                </c:pt>
                <c:pt idx="1036">
                  <c:v>45811</c:v>
                </c:pt>
                <c:pt idx="1037">
                  <c:v>45812</c:v>
                </c:pt>
                <c:pt idx="1038">
                  <c:v>45813</c:v>
                </c:pt>
                <c:pt idx="1039">
                  <c:v>45814</c:v>
                </c:pt>
                <c:pt idx="1040">
                  <c:v>45817</c:v>
                </c:pt>
                <c:pt idx="1041">
                  <c:v>45818</c:v>
                </c:pt>
                <c:pt idx="1042">
                  <c:v>45819</c:v>
                </c:pt>
                <c:pt idx="1043">
                  <c:v>45820</c:v>
                </c:pt>
                <c:pt idx="1044">
                  <c:v>45821</c:v>
                </c:pt>
                <c:pt idx="1045">
                  <c:v>45824</c:v>
                </c:pt>
                <c:pt idx="1046">
                  <c:v>45825</c:v>
                </c:pt>
                <c:pt idx="1047">
                  <c:v>45826</c:v>
                </c:pt>
                <c:pt idx="1048">
                  <c:v>45827</c:v>
                </c:pt>
                <c:pt idx="1049">
                  <c:v>45828</c:v>
                </c:pt>
                <c:pt idx="1050">
                  <c:v>45831</c:v>
                </c:pt>
                <c:pt idx="1051">
                  <c:v>45832</c:v>
                </c:pt>
                <c:pt idx="1052">
                  <c:v>45833</c:v>
                </c:pt>
                <c:pt idx="1053">
                  <c:v>45834</c:v>
                </c:pt>
                <c:pt idx="1054">
                  <c:v>45835</c:v>
                </c:pt>
                <c:pt idx="1055">
                  <c:v>45838</c:v>
                </c:pt>
                <c:pt idx="1056">
                  <c:v>45839</c:v>
                </c:pt>
                <c:pt idx="1057">
                  <c:v>45840</c:v>
                </c:pt>
                <c:pt idx="1058">
                  <c:v>45841</c:v>
                </c:pt>
                <c:pt idx="1059">
                  <c:v>45842</c:v>
                </c:pt>
                <c:pt idx="1060">
                  <c:v>45845</c:v>
                </c:pt>
                <c:pt idx="1061">
                  <c:v>45846</c:v>
                </c:pt>
                <c:pt idx="1062">
                  <c:v>45847</c:v>
                </c:pt>
                <c:pt idx="1063">
                  <c:v>45848</c:v>
                </c:pt>
                <c:pt idx="1064">
                  <c:v>45849</c:v>
                </c:pt>
                <c:pt idx="1065">
                  <c:v>45852</c:v>
                </c:pt>
                <c:pt idx="1066">
                  <c:v>45853</c:v>
                </c:pt>
                <c:pt idx="1067">
                  <c:v>45854</c:v>
                </c:pt>
                <c:pt idx="1068">
                  <c:v>45855</c:v>
                </c:pt>
                <c:pt idx="1069">
                  <c:v>45856</c:v>
                </c:pt>
                <c:pt idx="1070">
                  <c:v>45859</c:v>
                </c:pt>
                <c:pt idx="1071">
                  <c:v>45860</c:v>
                </c:pt>
                <c:pt idx="1072">
                  <c:v>45861</c:v>
                </c:pt>
                <c:pt idx="1073">
                  <c:v>45862</c:v>
                </c:pt>
                <c:pt idx="1074">
                  <c:v>45863</c:v>
                </c:pt>
                <c:pt idx="1075">
                  <c:v>45866</c:v>
                </c:pt>
                <c:pt idx="1076">
                  <c:v>45867</c:v>
                </c:pt>
                <c:pt idx="1077">
                  <c:v>45868</c:v>
                </c:pt>
                <c:pt idx="1078">
                  <c:v>45869</c:v>
                </c:pt>
                <c:pt idx="1079">
                  <c:v>45870</c:v>
                </c:pt>
                <c:pt idx="1080">
                  <c:v>45873</c:v>
                </c:pt>
                <c:pt idx="1081">
                  <c:v>45874</c:v>
                </c:pt>
                <c:pt idx="1082">
                  <c:v>45875</c:v>
                </c:pt>
                <c:pt idx="1083">
                  <c:v>45876</c:v>
                </c:pt>
                <c:pt idx="1084">
                  <c:v>45877</c:v>
                </c:pt>
                <c:pt idx="1085">
                  <c:v>45880</c:v>
                </c:pt>
                <c:pt idx="1086">
                  <c:v>45881</c:v>
                </c:pt>
                <c:pt idx="1087">
                  <c:v>45882</c:v>
                </c:pt>
                <c:pt idx="1088">
                  <c:v>45883</c:v>
                </c:pt>
                <c:pt idx="1089">
                  <c:v>45887</c:v>
                </c:pt>
                <c:pt idx="1090">
                  <c:v>45888</c:v>
                </c:pt>
                <c:pt idx="1091">
                  <c:v>45889</c:v>
                </c:pt>
                <c:pt idx="1092">
                  <c:v>45890</c:v>
                </c:pt>
                <c:pt idx="1093">
                  <c:v>45891</c:v>
                </c:pt>
                <c:pt idx="1094">
                  <c:v>45894</c:v>
                </c:pt>
                <c:pt idx="1095">
                  <c:v>45895</c:v>
                </c:pt>
                <c:pt idx="1096">
                  <c:v>45897</c:v>
                </c:pt>
                <c:pt idx="1097">
                  <c:v>45898</c:v>
                </c:pt>
                <c:pt idx="1098">
                  <c:v>45901</c:v>
                </c:pt>
                <c:pt idx="1099">
                  <c:v>45902</c:v>
                </c:pt>
                <c:pt idx="1100">
                  <c:v>45903</c:v>
                </c:pt>
                <c:pt idx="1101">
                  <c:v>45904</c:v>
                </c:pt>
                <c:pt idx="1102">
                  <c:v>45905</c:v>
                </c:pt>
                <c:pt idx="1103">
                  <c:v>45908</c:v>
                </c:pt>
                <c:pt idx="1104">
                  <c:v>45909</c:v>
                </c:pt>
                <c:pt idx="1105">
                  <c:v>45910</c:v>
                </c:pt>
                <c:pt idx="1106">
                  <c:v>45911</c:v>
                </c:pt>
                <c:pt idx="1107">
                  <c:v>45912</c:v>
                </c:pt>
                <c:pt idx="1108">
                  <c:v>45915</c:v>
                </c:pt>
                <c:pt idx="1109">
                  <c:v>45916</c:v>
                </c:pt>
                <c:pt idx="1110">
                  <c:v>45917</c:v>
                </c:pt>
                <c:pt idx="1111">
                  <c:v>45918</c:v>
                </c:pt>
                <c:pt idx="1112">
                  <c:v>45919</c:v>
                </c:pt>
                <c:pt idx="1113">
                  <c:v>45922</c:v>
                </c:pt>
                <c:pt idx="1114">
                  <c:v>45923</c:v>
                </c:pt>
                <c:pt idx="1115">
                  <c:v>45924</c:v>
                </c:pt>
                <c:pt idx="1116">
                  <c:v>45925</c:v>
                </c:pt>
                <c:pt idx="1117">
                  <c:v>45926</c:v>
                </c:pt>
                <c:pt idx="1118">
                  <c:v>45929</c:v>
                </c:pt>
                <c:pt idx="1119">
                  <c:v>45930</c:v>
                </c:pt>
                <c:pt idx="1120">
                  <c:v>45931</c:v>
                </c:pt>
                <c:pt idx="1121">
                  <c:v>45933</c:v>
                </c:pt>
                <c:pt idx="1122">
                  <c:v>45936</c:v>
                </c:pt>
                <c:pt idx="1123">
                  <c:v>45937</c:v>
                </c:pt>
                <c:pt idx="1124">
                  <c:v>45938</c:v>
                </c:pt>
                <c:pt idx="1125">
                  <c:v>45939</c:v>
                </c:pt>
                <c:pt idx="1126">
                  <c:v>45940</c:v>
                </c:pt>
                <c:pt idx="1127">
                  <c:v>45943</c:v>
                </c:pt>
                <c:pt idx="1128">
                  <c:v>45944</c:v>
                </c:pt>
                <c:pt idx="1129">
                  <c:v>45945</c:v>
                </c:pt>
                <c:pt idx="1130">
                  <c:v>45946</c:v>
                </c:pt>
                <c:pt idx="1131">
                  <c:v>45947</c:v>
                </c:pt>
                <c:pt idx="1132">
                  <c:v>45950</c:v>
                </c:pt>
                <c:pt idx="1133">
                  <c:v>45951</c:v>
                </c:pt>
                <c:pt idx="1134">
                  <c:v>45953</c:v>
                </c:pt>
                <c:pt idx="1135">
                  <c:v>45954</c:v>
                </c:pt>
                <c:pt idx="1136">
                  <c:v>45957</c:v>
                </c:pt>
                <c:pt idx="1137">
                  <c:v>45958</c:v>
                </c:pt>
                <c:pt idx="1138">
                  <c:v>45959</c:v>
                </c:pt>
                <c:pt idx="1139">
                  <c:v>45960</c:v>
                </c:pt>
                <c:pt idx="1140">
                  <c:v>45961</c:v>
                </c:pt>
                <c:pt idx="1141">
                  <c:v>45964</c:v>
                </c:pt>
                <c:pt idx="1142">
                  <c:v>45965</c:v>
                </c:pt>
                <c:pt idx="1143">
                  <c:v>45967</c:v>
                </c:pt>
                <c:pt idx="1144">
                  <c:v>45968</c:v>
                </c:pt>
                <c:pt idx="1145">
                  <c:v>45971</c:v>
                </c:pt>
                <c:pt idx="1146">
                  <c:v>45972</c:v>
                </c:pt>
                <c:pt idx="1147">
                  <c:v>45973</c:v>
                </c:pt>
                <c:pt idx="1148">
                  <c:v>45974</c:v>
                </c:pt>
                <c:pt idx="1149">
                  <c:v>45975</c:v>
                </c:pt>
                <c:pt idx="1150">
                  <c:v>45978</c:v>
                </c:pt>
                <c:pt idx="1151">
                  <c:v>45979</c:v>
                </c:pt>
                <c:pt idx="1152">
                  <c:v>45980</c:v>
                </c:pt>
                <c:pt idx="1153">
                  <c:v>45981</c:v>
                </c:pt>
                <c:pt idx="1154">
                  <c:v>45982</c:v>
                </c:pt>
                <c:pt idx="1155">
                  <c:v>45985</c:v>
                </c:pt>
                <c:pt idx="1156">
                  <c:v>45986</c:v>
                </c:pt>
                <c:pt idx="1157">
                  <c:v>45987</c:v>
                </c:pt>
                <c:pt idx="1158">
                  <c:v>45988</c:v>
                </c:pt>
                <c:pt idx="1159">
                  <c:v>45989</c:v>
                </c:pt>
                <c:pt idx="1160">
                  <c:v>45992</c:v>
                </c:pt>
                <c:pt idx="1161">
                  <c:v>45993</c:v>
                </c:pt>
                <c:pt idx="1162">
                  <c:v>45994</c:v>
                </c:pt>
                <c:pt idx="1163">
                  <c:v>45995</c:v>
                </c:pt>
                <c:pt idx="1164">
                  <c:v>45996</c:v>
                </c:pt>
                <c:pt idx="1165">
                  <c:v>45999</c:v>
                </c:pt>
                <c:pt idx="1166">
                  <c:v>46000</c:v>
                </c:pt>
                <c:pt idx="1167">
                  <c:v>46001</c:v>
                </c:pt>
                <c:pt idx="1168">
                  <c:v>46002</c:v>
                </c:pt>
                <c:pt idx="1169">
                  <c:v>46003</c:v>
                </c:pt>
                <c:pt idx="1170">
                  <c:v>46006</c:v>
                </c:pt>
                <c:pt idx="1171">
                  <c:v>46007</c:v>
                </c:pt>
                <c:pt idx="1172">
                  <c:v>46008</c:v>
                </c:pt>
                <c:pt idx="1173">
                  <c:v>46009</c:v>
                </c:pt>
                <c:pt idx="1174">
                  <c:v>46010</c:v>
                </c:pt>
                <c:pt idx="1175">
                  <c:v>46013</c:v>
                </c:pt>
                <c:pt idx="1176">
                  <c:v>46014</c:v>
                </c:pt>
                <c:pt idx="1177">
                  <c:v>46015</c:v>
                </c:pt>
                <c:pt idx="1178">
                  <c:v>46017</c:v>
                </c:pt>
                <c:pt idx="1179">
                  <c:v>46020</c:v>
                </c:pt>
                <c:pt idx="1180">
                  <c:v>46021</c:v>
                </c:pt>
                <c:pt idx="1181">
                  <c:v>46022</c:v>
                </c:pt>
                <c:pt idx="1182">
                  <c:v>46023</c:v>
                </c:pt>
                <c:pt idx="1183">
                  <c:v>46024</c:v>
                </c:pt>
                <c:pt idx="1184">
                  <c:v>46027</c:v>
                </c:pt>
                <c:pt idx="1185">
                  <c:v>46028</c:v>
                </c:pt>
                <c:pt idx="1186">
                  <c:v>46029</c:v>
                </c:pt>
                <c:pt idx="1187">
                  <c:v>46030</c:v>
                </c:pt>
                <c:pt idx="1188">
                  <c:v>46031</c:v>
                </c:pt>
                <c:pt idx="1189">
                  <c:v>46034</c:v>
                </c:pt>
                <c:pt idx="1190">
                  <c:v>46035</c:v>
                </c:pt>
                <c:pt idx="1191">
                  <c:v>46036</c:v>
                </c:pt>
                <c:pt idx="1192">
                  <c:v>46038</c:v>
                </c:pt>
                <c:pt idx="1193">
                  <c:v>46041</c:v>
                </c:pt>
                <c:pt idx="1194">
                  <c:v>46042</c:v>
                </c:pt>
                <c:pt idx="1195">
                  <c:v>46043</c:v>
                </c:pt>
                <c:pt idx="1196">
                  <c:v>46044</c:v>
                </c:pt>
                <c:pt idx="1197">
                  <c:v>46045</c:v>
                </c:pt>
                <c:pt idx="1198">
                  <c:v>46049</c:v>
                </c:pt>
                <c:pt idx="1199">
                  <c:v>46050</c:v>
                </c:pt>
                <c:pt idx="1200">
                  <c:v>46051</c:v>
                </c:pt>
                <c:pt idx="1201">
                  <c:v>46052</c:v>
                </c:pt>
                <c:pt idx="1202">
                  <c:v>46054</c:v>
                </c:pt>
                <c:pt idx="1203">
                  <c:v>46055</c:v>
                </c:pt>
                <c:pt idx="1204">
                  <c:v>46056</c:v>
                </c:pt>
                <c:pt idx="1205">
                  <c:v>46057</c:v>
                </c:pt>
                <c:pt idx="1206">
                  <c:v>46058</c:v>
                </c:pt>
                <c:pt idx="1207">
                  <c:v>46059</c:v>
                </c:pt>
                <c:pt idx="1208">
                  <c:v>46062</c:v>
                </c:pt>
                <c:pt idx="1209">
                  <c:v>46063</c:v>
                </c:pt>
                <c:pt idx="1210">
                  <c:v>46064</c:v>
                </c:pt>
                <c:pt idx="1211">
                  <c:v>46065</c:v>
                </c:pt>
                <c:pt idx="1212">
                  <c:v>46066</c:v>
                </c:pt>
                <c:pt idx="1213">
                  <c:v>46069</c:v>
                </c:pt>
                <c:pt idx="1214">
                  <c:v>46070</c:v>
                </c:pt>
                <c:pt idx="1215">
                  <c:v>46071</c:v>
                </c:pt>
                <c:pt idx="1216">
                  <c:v>46072</c:v>
                </c:pt>
                <c:pt idx="1217">
                  <c:v>46073</c:v>
                </c:pt>
                <c:pt idx="1218">
                  <c:v>46076</c:v>
                </c:pt>
                <c:pt idx="1219">
                  <c:v>46077</c:v>
                </c:pt>
                <c:pt idx="1220">
                  <c:v>46078</c:v>
                </c:pt>
                <c:pt idx="1221">
                  <c:v>46079</c:v>
                </c:pt>
                <c:pt idx="1222">
                  <c:v>46080</c:v>
                </c:pt>
                <c:pt idx="1223">
                  <c:v>46083</c:v>
                </c:pt>
                <c:pt idx="1224">
                  <c:v>46085</c:v>
                </c:pt>
                <c:pt idx="1225">
                  <c:v>46086</c:v>
                </c:pt>
                <c:pt idx="1226">
                  <c:v>46087</c:v>
                </c:pt>
                <c:pt idx="1227">
                  <c:v>46090</c:v>
                </c:pt>
                <c:pt idx="1228">
                  <c:v>46091</c:v>
                </c:pt>
                <c:pt idx="1229">
                  <c:v>46092</c:v>
                </c:pt>
                <c:pt idx="1230">
                  <c:v>46093</c:v>
                </c:pt>
                <c:pt idx="1231">
                  <c:v>46094</c:v>
                </c:pt>
                <c:pt idx="1232">
                  <c:v>46097</c:v>
                </c:pt>
                <c:pt idx="1233">
                  <c:v>46098</c:v>
                </c:pt>
                <c:pt idx="1234">
                  <c:v>46099</c:v>
                </c:pt>
                <c:pt idx="1235">
                  <c:v>46100</c:v>
                </c:pt>
                <c:pt idx="1236">
                  <c:v>46101</c:v>
                </c:pt>
                <c:pt idx="1237">
                  <c:v>46104</c:v>
                </c:pt>
              </c:numCache>
            </c:numRef>
          </c:cat>
          <c:val>
            <c:numRef>
              <c:f>Beta!$B$6:$B$1243</c:f>
              <c:numCache>
                <c:formatCode>#,##0.00</c:formatCode>
                <c:ptCount val="1238"/>
                <c:pt idx="0">
                  <c:v>3464.95</c:v>
                </c:pt>
                <c:pt idx="1">
                  <c:v>3584.25</c:v>
                </c:pt>
                <c:pt idx="2">
                  <c:v>3622.8</c:v>
                </c:pt>
                <c:pt idx="3">
                  <c:v>3616.1</c:v>
                </c:pt>
                <c:pt idx="4">
                  <c:v>3611.05</c:v>
                </c:pt>
                <c:pt idx="5">
                  <c:v>3688.1</c:v>
                </c:pt>
                <c:pt idx="6">
                  <c:v>3698.95</c:v>
                </c:pt>
                <c:pt idx="7">
                  <c:v>3715.15</c:v>
                </c:pt>
                <c:pt idx="8">
                  <c:v>3752.35</c:v>
                </c:pt>
                <c:pt idx="9">
                  <c:v>3779.65</c:v>
                </c:pt>
                <c:pt idx="10">
                  <c:v>3718.45</c:v>
                </c:pt>
                <c:pt idx="11">
                  <c:v>3783.4</c:v>
                </c:pt>
                <c:pt idx="12">
                  <c:v>3821.85</c:v>
                </c:pt>
                <c:pt idx="13">
                  <c:v>3807.1</c:v>
                </c:pt>
                <c:pt idx="14">
                  <c:v>3779.7</c:v>
                </c:pt>
                <c:pt idx="15">
                  <c:v>3755.25</c:v>
                </c:pt>
                <c:pt idx="16">
                  <c:v>3779.75</c:v>
                </c:pt>
                <c:pt idx="17">
                  <c:v>3784.35</c:v>
                </c:pt>
                <c:pt idx="18">
                  <c:v>3908.95</c:v>
                </c:pt>
                <c:pt idx="19">
                  <c:v>3882.6</c:v>
                </c:pt>
                <c:pt idx="20">
                  <c:v>3910.85</c:v>
                </c:pt>
                <c:pt idx="21">
                  <c:v>4062.35</c:v>
                </c:pt>
                <c:pt idx="22">
                  <c:v>4074</c:v>
                </c:pt>
                <c:pt idx="23">
                  <c:v>3985.35</c:v>
                </c:pt>
                <c:pt idx="24">
                  <c:v>4035.45</c:v>
                </c:pt>
                <c:pt idx="25">
                  <c:v>4063.05</c:v>
                </c:pt>
                <c:pt idx="26">
                  <c:v>4029.1</c:v>
                </c:pt>
                <c:pt idx="27">
                  <c:v>4139.3</c:v>
                </c:pt>
                <c:pt idx="28">
                  <c:v>4073.6</c:v>
                </c:pt>
                <c:pt idx="29">
                  <c:v>4061.45</c:v>
                </c:pt>
                <c:pt idx="30">
                  <c:v>4020.55</c:v>
                </c:pt>
                <c:pt idx="31">
                  <c:v>4043.25</c:v>
                </c:pt>
                <c:pt idx="32">
                  <c:v>4023.95</c:v>
                </c:pt>
                <c:pt idx="33">
                  <c:v>4039.65</c:v>
                </c:pt>
                <c:pt idx="34">
                  <c:v>4040.8</c:v>
                </c:pt>
                <c:pt idx="35">
                  <c:v>4079.9</c:v>
                </c:pt>
                <c:pt idx="36">
                  <c:v>4097.2</c:v>
                </c:pt>
                <c:pt idx="37">
                  <c:v>4097.8500000000004</c:v>
                </c:pt>
                <c:pt idx="38">
                  <c:v>4098.6000000000004</c:v>
                </c:pt>
                <c:pt idx="39">
                  <c:v>4079.2</c:v>
                </c:pt>
                <c:pt idx="40">
                  <c:v>4120.25</c:v>
                </c:pt>
                <c:pt idx="41">
                  <c:v>4194</c:v>
                </c:pt>
                <c:pt idx="42">
                  <c:v>4220.1000000000004</c:v>
                </c:pt>
                <c:pt idx="43">
                  <c:v>4214.25</c:v>
                </c:pt>
                <c:pt idx="44">
                  <c:v>4232.2</c:v>
                </c:pt>
                <c:pt idx="45">
                  <c:v>4261.6000000000004</c:v>
                </c:pt>
                <c:pt idx="46">
                  <c:v>4229.95</c:v>
                </c:pt>
                <c:pt idx="47">
                  <c:v>4241.2</c:v>
                </c:pt>
                <c:pt idx="48">
                  <c:v>4267.45</c:v>
                </c:pt>
                <c:pt idx="49">
                  <c:v>4372.55</c:v>
                </c:pt>
                <c:pt idx="50">
                  <c:v>4334.5</c:v>
                </c:pt>
                <c:pt idx="51">
                  <c:v>4388.05</c:v>
                </c:pt>
                <c:pt idx="52">
                  <c:v>4313.05</c:v>
                </c:pt>
                <c:pt idx="53">
                  <c:v>4300.7</c:v>
                </c:pt>
                <c:pt idx="54">
                  <c:v>4302.3500000000004</c:v>
                </c:pt>
                <c:pt idx="55">
                  <c:v>4197.3</c:v>
                </c:pt>
                <c:pt idx="56">
                  <c:v>4229.1000000000004</c:v>
                </c:pt>
                <c:pt idx="57">
                  <c:v>4288.75</c:v>
                </c:pt>
                <c:pt idx="58">
                  <c:v>4224.6000000000004</c:v>
                </c:pt>
                <c:pt idx="59">
                  <c:v>4250.3500000000004</c:v>
                </c:pt>
                <c:pt idx="60">
                  <c:v>4248.75</c:v>
                </c:pt>
                <c:pt idx="61">
                  <c:v>4314.3999999999996</c:v>
                </c:pt>
                <c:pt idx="62">
                  <c:v>4356.1499999999996</c:v>
                </c:pt>
                <c:pt idx="63">
                  <c:v>4408.25</c:v>
                </c:pt>
                <c:pt idx="64">
                  <c:v>4435.7</c:v>
                </c:pt>
                <c:pt idx="65">
                  <c:v>4519.6499999999996</c:v>
                </c:pt>
                <c:pt idx="66">
                  <c:v>4559.95</c:v>
                </c:pt>
                <c:pt idx="67">
                  <c:v>4524.2</c:v>
                </c:pt>
                <c:pt idx="68">
                  <c:v>4552.55</c:v>
                </c:pt>
                <c:pt idx="69">
                  <c:v>4510.5</c:v>
                </c:pt>
                <c:pt idx="70">
                  <c:v>4599.7</c:v>
                </c:pt>
                <c:pt idx="71">
                  <c:v>4588.75</c:v>
                </c:pt>
                <c:pt idx="72">
                  <c:v>4606.05</c:v>
                </c:pt>
                <c:pt idx="73">
                  <c:v>4623.2</c:v>
                </c:pt>
                <c:pt idx="74">
                  <c:v>4607.3</c:v>
                </c:pt>
                <c:pt idx="75">
                  <c:v>4757.6000000000004</c:v>
                </c:pt>
                <c:pt idx="76">
                  <c:v>4807.45</c:v>
                </c:pt>
                <c:pt idx="77">
                  <c:v>4787.8500000000004</c:v>
                </c:pt>
                <c:pt idx="78">
                  <c:v>4843.25</c:v>
                </c:pt>
                <c:pt idx="79">
                  <c:v>4824.75</c:v>
                </c:pt>
                <c:pt idx="80">
                  <c:v>4921.1499999999996</c:v>
                </c:pt>
                <c:pt idx="81">
                  <c:v>4791.3999999999996</c:v>
                </c:pt>
                <c:pt idx="82">
                  <c:v>4890.6000000000004</c:v>
                </c:pt>
                <c:pt idx="83">
                  <c:v>4843.8</c:v>
                </c:pt>
                <c:pt idx="84">
                  <c:v>4906.1000000000004</c:v>
                </c:pt>
                <c:pt idx="85">
                  <c:v>4928.95</c:v>
                </c:pt>
                <c:pt idx="86">
                  <c:v>5006.8500000000004</c:v>
                </c:pt>
                <c:pt idx="87">
                  <c:v>4964.25</c:v>
                </c:pt>
                <c:pt idx="88">
                  <c:v>4923.55</c:v>
                </c:pt>
                <c:pt idx="89">
                  <c:v>4916</c:v>
                </c:pt>
                <c:pt idx="90">
                  <c:v>4905.7</c:v>
                </c:pt>
                <c:pt idx="91">
                  <c:v>4955.05</c:v>
                </c:pt>
                <c:pt idx="92">
                  <c:v>4919.1000000000004</c:v>
                </c:pt>
                <c:pt idx="93">
                  <c:v>4908.8500000000004</c:v>
                </c:pt>
                <c:pt idx="94">
                  <c:v>4948.7</c:v>
                </c:pt>
                <c:pt idx="95">
                  <c:v>4898.95</c:v>
                </c:pt>
                <c:pt idx="96">
                  <c:v>4908.3500000000004</c:v>
                </c:pt>
                <c:pt idx="97">
                  <c:v>4910.45</c:v>
                </c:pt>
                <c:pt idx="98">
                  <c:v>4818.7</c:v>
                </c:pt>
                <c:pt idx="99">
                  <c:v>4874.6499999999996</c:v>
                </c:pt>
                <c:pt idx="100">
                  <c:v>4863.2</c:v>
                </c:pt>
                <c:pt idx="101">
                  <c:v>4856.5</c:v>
                </c:pt>
                <c:pt idx="102">
                  <c:v>4846.7</c:v>
                </c:pt>
                <c:pt idx="103">
                  <c:v>4910.7</c:v>
                </c:pt>
                <c:pt idx="104">
                  <c:v>5104.25</c:v>
                </c:pt>
                <c:pt idx="105">
                  <c:v>5173.6000000000004</c:v>
                </c:pt>
                <c:pt idx="106">
                  <c:v>5202.6499999999996</c:v>
                </c:pt>
                <c:pt idx="107">
                  <c:v>5165.55</c:v>
                </c:pt>
                <c:pt idx="108">
                  <c:v>5208.3</c:v>
                </c:pt>
                <c:pt idx="109">
                  <c:v>5205.1000000000004</c:v>
                </c:pt>
                <c:pt idx="110">
                  <c:v>5210.1000000000004</c:v>
                </c:pt>
                <c:pt idx="111">
                  <c:v>5085.05</c:v>
                </c:pt>
                <c:pt idx="112">
                  <c:v>5054.8999999999996</c:v>
                </c:pt>
                <c:pt idx="113">
                  <c:v>5085.2</c:v>
                </c:pt>
                <c:pt idx="114">
                  <c:v>5094.8500000000004</c:v>
                </c:pt>
                <c:pt idx="115">
                  <c:v>5158.8999999999996</c:v>
                </c:pt>
                <c:pt idx="116">
                  <c:v>5166.8999999999996</c:v>
                </c:pt>
                <c:pt idx="117">
                  <c:v>5122.8</c:v>
                </c:pt>
                <c:pt idx="118">
                  <c:v>5110.1000000000004</c:v>
                </c:pt>
                <c:pt idx="119">
                  <c:v>5179.45</c:v>
                </c:pt>
                <c:pt idx="120">
                  <c:v>5139.8999999999996</c:v>
                </c:pt>
                <c:pt idx="121">
                  <c:v>5212.1000000000004</c:v>
                </c:pt>
                <c:pt idx="122">
                  <c:v>5108.55</c:v>
                </c:pt>
                <c:pt idx="123">
                  <c:v>4932.55</c:v>
                </c:pt>
                <c:pt idx="124">
                  <c:v>4784.05</c:v>
                </c:pt>
                <c:pt idx="125">
                  <c:v>4806.45</c:v>
                </c:pt>
                <c:pt idx="126">
                  <c:v>4798.7</c:v>
                </c:pt>
                <c:pt idx="127">
                  <c:v>4832.3</c:v>
                </c:pt>
                <c:pt idx="128">
                  <c:v>5220.7</c:v>
                </c:pt>
                <c:pt idx="129">
                  <c:v>5217.8500000000004</c:v>
                </c:pt>
                <c:pt idx="130">
                  <c:v>5136.55</c:v>
                </c:pt>
                <c:pt idx="131">
                  <c:v>5097.8500000000004</c:v>
                </c:pt>
                <c:pt idx="132">
                  <c:v>5071.3</c:v>
                </c:pt>
                <c:pt idx="133">
                  <c:v>5143.05</c:v>
                </c:pt>
                <c:pt idx="134">
                  <c:v>5225.8999999999996</c:v>
                </c:pt>
                <c:pt idx="135">
                  <c:v>5248.9</c:v>
                </c:pt>
                <c:pt idx="136">
                  <c:v>5372.15</c:v>
                </c:pt>
                <c:pt idx="137">
                  <c:v>5343.05</c:v>
                </c:pt>
                <c:pt idx="138">
                  <c:v>5192.1000000000004</c:v>
                </c:pt>
                <c:pt idx="139">
                  <c:v>5116.3999999999996</c:v>
                </c:pt>
                <c:pt idx="140">
                  <c:v>5193.6499999999996</c:v>
                </c:pt>
                <c:pt idx="141">
                  <c:v>5073.3999999999996</c:v>
                </c:pt>
                <c:pt idx="142">
                  <c:v>4995.95</c:v>
                </c:pt>
                <c:pt idx="143">
                  <c:v>5018.8999999999996</c:v>
                </c:pt>
                <c:pt idx="144">
                  <c:v>5149.3500000000004</c:v>
                </c:pt>
                <c:pt idx="145">
                  <c:v>5121.1499999999996</c:v>
                </c:pt>
                <c:pt idx="146">
                  <c:v>5150.1499999999996</c:v>
                </c:pt>
                <c:pt idx="147">
                  <c:v>5228.2</c:v>
                </c:pt>
                <c:pt idx="148">
                  <c:v>5205.3999999999996</c:v>
                </c:pt>
                <c:pt idx="149">
                  <c:v>5140.1499999999996</c:v>
                </c:pt>
                <c:pt idx="150">
                  <c:v>5208.05</c:v>
                </c:pt>
                <c:pt idx="151">
                  <c:v>4896.7</c:v>
                </c:pt>
                <c:pt idx="152">
                  <c:v>4951.3</c:v>
                </c:pt>
                <c:pt idx="153">
                  <c:v>4905.75</c:v>
                </c:pt>
                <c:pt idx="154">
                  <c:v>4833.25</c:v>
                </c:pt>
                <c:pt idx="155">
                  <c:v>4843.8</c:v>
                </c:pt>
                <c:pt idx="156">
                  <c:v>4907.6499999999996</c:v>
                </c:pt>
                <c:pt idx="157">
                  <c:v>4852.6000000000004</c:v>
                </c:pt>
                <c:pt idx="158">
                  <c:v>4763.8500000000004</c:v>
                </c:pt>
                <c:pt idx="159">
                  <c:v>4785.6000000000004</c:v>
                </c:pt>
                <c:pt idx="160">
                  <c:v>4679.1499999999996</c:v>
                </c:pt>
                <c:pt idx="161">
                  <c:v>4763.3</c:v>
                </c:pt>
                <c:pt idx="162">
                  <c:v>4682.7</c:v>
                </c:pt>
                <c:pt idx="163">
                  <c:v>4799.8</c:v>
                </c:pt>
                <c:pt idx="164">
                  <c:v>4937.8</c:v>
                </c:pt>
                <c:pt idx="165">
                  <c:v>4921.3500000000004</c:v>
                </c:pt>
                <c:pt idx="166">
                  <c:v>4878.8</c:v>
                </c:pt>
                <c:pt idx="167">
                  <c:v>4752.2</c:v>
                </c:pt>
                <c:pt idx="168">
                  <c:v>4777.3</c:v>
                </c:pt>
                <c:pt idx="169">
                  <c:v>4757.05</c:v>
                </c:pt>
                <c:pt idx="170">
                  <c:v>4646.8</c:v>
                </c:pt>
                <c:pt idx="171">
                  <c:v>4624.8</c:v>
                </c:pt>
                <c:pt idx="172">
                  <c:v>4604.95</c:v>
                </c:pt>
                <c:pt idx="173">
                  <c:v>4576.95</c:v>
                </c:pt>
                <c:pt idx="174">
                  <c:v>4506.45</c:v>
                </c:pt>
                <c:pt idx="175">
                  <c:v>4530.3999999999996</c:v>
                </c:pt>
                <c:pt idx="176">
                  <c:v>4654.3999999999996</c:v>
                </c:pt>
                <c:pt idx="177">
                  <c:v>4588.7</c:v>
                </c:pt>
                <c:pt idx="178">
                  <c:v>4601.45</c:v>
                </c:pt>
                <c:pt idx="179">
                  <c:v>4511.45</c:v>
                </c:pt>
                <c:pt idx="180">
                  <c:v>4408.45</c:v>
                </c:pt>
                <c:pt idx="181">
                  <c:v>4405.7</c:v>
                </c:pt>
                <c:pt idx="182">
                  <c:v>4563.5</c:v>
                </c:pt>
                <c:pt idx="183">
                  <c:v>4478.5</c:v>
                </c:pt>
                <c:pt idx="184">
                  <c:v>4447.25</c:v>
                </c:pt>
                <c:pt idx="185">
                  <c:v>4473.2</c:v>
                </c:pt>
                <c:pt idx="186">
                  <c:v>4525.3500000000004</c:v>
                </c:pt>
                <c:pt idx="187">
                  <c:v>4621.6000000000004</c:v>
                </c:pt>
                <c:pt idx="188">
                  <c:v>4627.8999999999996</c:v>
                </c:pt>
                <c:pt idx="189">
                  <c:v>4678.2</c:v>
                </c:pt>
                <c:pt idx="190">
                  <c:v>4651.25</c:v>
                </c:pt>
                <c:pt idx="191">
                  <c:v>4621.7</c:v>
                </c:pt>
                <c:pt idx="192">
                  <c:v>4558.45</c:v>
                </c:pt>
                <c:pt idx="193">
                  <c:v>4489.1499999999996</c:v>
                </c:pt>
                <c:pt idx="194">
                  <c:v>4516.7</c:v>
                </c:pt>
                <c:pt idx="195">
                  <c:v>4465.8</c:v>
                </c:pt>
                <c:pt idx="196">
                  <c:v>4516.55</c:v>
                </c:pt>
                <c:pt idx="197">
                  <c:v>4492.8999999999996</c:v>
                </c:pt>
                <c:pt idx="198">
                  <c:v>4590.05</c:v>
                </c:pt>
                <c:pt idx="199">
                  <c:v>4616.6000000000004</c:v>
                </c:pt>
                <c:pt idx="200">
                  <c:v>4630.3500000000004</c:v>
                </c:pt>
                <c:pt idx="201">
                  <c:v>4527.1499999999996</c:v>
                </c:pt>
                <c:pt idx="202">
                  <c:v>4481.5</c:v>
                </c:pt>
                <c:pt idx="203">
                  <c:v>4329.75</c:v>
                </c:pt>
                <c:pt idx="204">
                  <c:v>4179.3999999999996</c:v>
                </c:pt>
                <c:pt idx="205">
                  <c:v>4056.6</c:v>
                </c:pt>
                <c:pt idx="206">
                  <c:v>4049.2</c:v>
                </c:pt>
                <c:pt idx="207">
                  <c:v>3939.85</c:v>
                </c:pt>
                <c:pt idx="208">
                  <c:v>3940.7</c:v>
                </c:pt>
                <c:pt idx="209">
                  <c:v>4036.1</c:v>
                </c:pt>
                <c:pt idx="210">
                  <c:v>4108.3500000000004</c:v>
                </c:pt>
                <c:pt idx="211">
                  <c:v>4219.6499999999996</c:v>
                </c:pt>
                <c:pt idx="212">
                  <c:v>4262.45</c:v>
                </c:pt>
                <c:pt idx="213">
                  <c:v>4304.5</c:v>
                </c:pt>
                <c:pt idx="214">
                  <c:v>4201.5</c:v>
                </c:pt>
                <c:pt idx="215">
                  <c:v>4277.55</c:v>
                </c:pt>
                <c:pt idx="216">
                  <c:v>4329.45</c:v>
                </c:pt>
                <c:pt idx="217">
                  <c:v>4313.75</c:v>
                </c:pt>
                <c:pt idx="218">
                  <c:v>4291.25</c:v>
                </c:pt>
                <c:pt idx="219">
                  <c:v>4277.8999999999996</c:v>
                </c:pt>
                <c:pt idx="220">
                  <c:v>4325.8</c:v>
                </c:pt>
                <c:pt idx="221">
                  <c:v>4465.1499999999996</c:v>
                </c:pt>
                <c:pt idx="222">
                  <c:v>4442.2</c:v>
                </c:pt>
                <c:pt idx="223">
                  <c:v>4353.3999999999996</c:v>
                </c:pt>
                <c:pt idx="224">
                  <c:v>4258.3</c:v>
                </c:pt>
                <c:pt idx="225">
                  <c:v>4224.8</c:v>
                </c:pt>
                <c:pt idx="226">
                  <c:v>4181.6000000000004</c:v>
                </c:pt>
                <c:pt idx="227">
                  <c:v>3936.65</c:v>
                </c:pt>
                <c:pt idx="228">
                  <c:v>4138.3500000000004</c:v>
                </c:pt>
                <c:pt idx="229">
                  <c:v>4265</c:v>
                </c:pt>
                <c:pt idx="230">
                  <c:v>4160.8999999999996</c:v>
                </c:pt>
                <c:pt idx="231">
                  <c:v>4160.45</c:v>
                </c:pt>
                <c:pt idx="232">
                  <c:v>4094.7</c:v>
                </c:pt>
                <c:pt idx="233">
                  <c:v>4074.95</c:v>
                </c:pt>
                <c:pt idx="234">
                  <c:v>4164.25</c:v>
                </c:pt>
                <c:pt idx="235">
                  <c:v>4234.05</c:v>
                </c:pt>
                <c:pt idx="236">
                  <c:v>4300.8999999999996</c:v>
                </c:pt>
                <c:pt idx="237">
                  <c:v>4339.3999999999996</c:v>
                </c:pt>
                <c:pt idx="238">
                  <c:v>4393.8</c:v>
                </c:pt>
                <c:pt idx="239">
                  <c:v>4386.25</c:v>
                </c:pt>
                <c:pt idx="240">
                  <c:v>4402.25</c:v>
                </c:pt>
                <c:pt idx="241">
                  <c:v>4504.3500000000004</c:v>
                </c:pt>
                <c:pt idx="242">
                  <c:v>4456.25</c:v>
                </c:pt>
                <c:pt idx="243">
                  <c:v>4448.55</c:v>
                </c:pt>
                <c:pt idx="244">
                  <c:v>4553.55</c:v>
                </c:pt>
                <c:pt idx="245">
                  <c:v>4494.6499999999996</c:v>
                </c:pt>
                <c:pt idx="246">
                  <c:v>4454.1499999999996</c:v>
                </c:pt>
                <c:pt idx="247">
                  <c:v>4416.55</c:v>
                </c:pt>
                <c:pt idx="248">
                  <c:v>4561.6000000000004</c:v>
                </c:pt>
                <c:pt idx="249">
                  <c:v>4538.6000000000004</c:v>
                </c:pt>
                <c:pt idx="250">
                  <c:v>4402.05</c:v>
                </c:pt>
                <c:pt idx="251">
                  <c:v>4379.7</c:v>
                </c:pt>
                <c:pt idx="252">
                  <c:v>4497.6000000000004</c:v>
                </c:pt>
                <c:pt idx="253">
                  <c:v>4461.2</c:v>
                </c:pt>
                <c:pt idx="254">
                  <c:v>4386.8999999999996</c:v>
                </c:pt>
                <c:pt idx="255">
                  <c:v>4448.45</c:v>
                </c:pt>
                <c:pt idx="256">
                  <c:v>4505.95</c:v>
                </c:pt>
                <c:pt idx="257">
                  <c:v>4503.8</c:v>
                </c:pt>
                <c:pt idx="258">
                  <c:v>4473.3999999999996</c:v>
                </c:pt>
                <c:pt idx="259">
                  <c:v>4499.25</c:v>
                </c:pt>
                <c:pt idx="260">
                  <c:v>4524.8999999999996</c:v>
                </c:pt>
                <c:pt idx="261">
                  <c:v>4411.3999999999996</c:v>
                </c:pt>
                <c:pt idx="262">
                  <c:v>4455.6499999999996</c:v>
                </c:pt>
                <c:pt idx="263">
                  <c:v>4529.05</c:v>
                </c:pt>
                <c:pt idx="264">
                  <c:v>4492.5</c:v>
                </c:pt>
                <c:pt idx="265">
                  <c:v>4410.1000000000004</c:v>
                </c:pt>
                <c:pt idx="266">
                  <c:v>4519.6000000000004</c:v>
                </c:pt>
                <c:pt idx="267">
                  <c:v>4530.6000000000004</c:v>
                </c:pt>
                <c:pt idx="268">
                  <c:v>4564.6000000000004</c:v>
                </c:pt>
                <c:pt idx="269">
                  <c:v>4505.3999999999996</c:v>
                </c:pt>
                <c:pt idx="270">
                  <c:v>4509.6499999999996</c:v>
                </c:pt>
                <c:pt idx="271">
                  <c:v>4344.1499999999996</c:v>
                </c:pt>
                <c:pt idx="272">
                  <c:v>4365.8</c:v>
                </c:pt>
                <c:pt idx="273">
                  <c:v>4165.8500000000004</c:v>
                </c:pt>
                <c:pt idx="274">
                  <c:v>4231.1000000000004</c:v>
                </c:pt>
                <c:pt idx="275">
                  <c:v>4296.3500000000004</c:v>
                </c:pt>
                <c:pt idx="276">
                  <c:v>4293.8</c:v>
                </c:pt>
                <c:pt idx="277">
                  <c:v>4233.3999999999996</c:v>
                </c:pt>
                <c:pt idx="278">
                  <c:v>4281.1000000000004</c:v>
                </c:pt>
                <c:pt idx="279">
                  <c:v>4218.1000000000004</c:v>
                </c:pt>
                <c:pt idx="280">
                  <c:v>4303.3500000000004</c:v>
                </c:pt>
                <c:pt idx="281">
                  <c:v>4366.7</c:v>
                </c:pt>
                <c:pt idx="282">
                  <c:v>4199.2</c:v>
                </c:pt>
                <c:pt idx="283">
                  <c:v>4304.8</c:v>
                </c:pt>
                <c:pt idx="284">
                  <c:v>3897.9</c:v>
                </c:pt>
                <c:pt idx="285">
                  <c:v>3661.7</c:v>
                </c:pt>
                <c:pt idx="286">
                  <c:v>3519.35</c:v>
                </c:pt>
                <c:pt idx="287">
                  <c:v>3448.7</c:v>
                </c:pt>
                <c:pt idx="288">
                  <c:v>3514.7</c:v>
                </c:pt>
                <c:pt idx="289">
                  <c:v>3566.5</c:v>
                </c:pt>
                <c:pt idx="290">
                  <c:v>3591.3</c:v>
                </c:pt>
                <c:pt idx="291">
                  <c:v>3555.15</c:v>
                </c:pt>
                <c:pt idx="292">
                  <c:v>3524.35</c:v>
                </c:pt>
                <c:pt idx="293">
                  <c:v>3478.3</c:v>
                </c:pt>
                <c:pt idx="294">
                  <c:v>3499.65</c:v>
                </c:pt>
                <c:pt idx="295">
                  <c:v>3501.25</c:v>
                </c:pt>
                <c:pt idx="296">
                  <c:v>3495.3</c:v>
                </c:pt>
                <c:pt idx="297">
                  <c:v>3507.2</c:v>
                </c:pt>
                <c:pt idx="298">
                  <c:v>3528.05</c:v>
                </c:pt>
                <c:pt idx="299">
                  <c:v>3474.15</c:v>
                </c:pt>
                <c:pt idx="300">
                  <c:v>3525.65</c:v>
                </c:pt>
                <c:pt idx="301">
                  <c:v>3581.1</c:v>
                </c:pt>
                <c:pt idx="302">
                  <c:v>3564.9</c:v>
                </c:pt>
                <c:pt idx="303">
                  <c:v>3481.95</c:v>
                </c:pt>
                <c:pt idx="304">
                  <c:v>3533.55</c:v>
                </c:pt>
                <c:pt idx="305">
                  <c:v>3599.5</c:v>
                </c:pt>
                <c:pt idx="306">
                  <c:v>3599.6</c:v>
                </c:pt>
                <c:pt idx="307">
                  <c:v>3666.3</c:v>
                </c:pt>
                <c:pt idx="308">
                  <c:v>3681</c:v>
                </c:pt>
                <c:pt idx="309">
                  <c:v>3673.45</c:v>
                </c:pt>
                <c:pt idx="310">
                  <c:v>3613.45</c:v>
                </c:pt>
                <c:pt idx="311">
                  <c:v>3583.35</c:v>
                </c:pt>
                <c:pt idx="312">
                  <c:v>3630.4</c:v>
                </c:pt>
                <c:pt idx="313">
                  <c:v>3637.55</c:v>
                </c:pt>
                <c:pt idx="314">
                  <c:v>3639.55</c:v>
                </c:pt>
                <c:pt idx="315">
                  <c:v>3610.05</c:v>
                </c:pt>
                <c:pt idx="316">
                  <c:v>3644.8</c:v>
                </c:pt>
                <c:pt idx="317">
                  <c:v>3656.4</c:v>
                </c:pt>
                <c:pt idx="318">
                  <c:v>3671.3</c:v>
                </c:pt>
                <c:pt idx="319">
                  <c:v>3734.1</c:v>
                </c:pt>
                <c:pt idx="320">
                  <c:v>3687.45</c:v>
                </c:pt>
                <c:pt idx="321">
                  <c:v>3778.8</c:v>
                </c:pt>
                <c:pt idx="322">
                  <c:v>3733.8</c:v>
                </c:pt>
                <c:pt idx="323">
                  <c:v>3727.75</c:v>
                </c:pt>
                <c:pt idx="324">
                  <c:v>3738.45</c:v>
                </c:pt>
                <c:pt idx="325">
                  <c:v>3753.25</c:v>
                </c:pt>
                <c:pt idx="326">
                  <c:v>3741.65</c:v>
                </c:pt>
                <c:pt idx="327">
                  <c:v>3794.5</c:v>
                </c:pt>
                <c:pt idx="328">
                  <c:v>3796.75</c:v>
                </c:pt>
                <c:pt idx="329">
                  <c:v>3774.3</c:v>
                </c:pt>
                <c:pt idx="330">
                  <c:v>3687</c:v>
                </c:pt>
                <c:pt idx="331">
                  <c:v>3786.45</c:v>
                </c:pt>
                <c:pt idx="332">
                  <c:v>3849.65</c:v>
                </c:pt>
                <c:pt idx="333">
                  <c:v>3831.65</c:v>
                </c:pt>
                <c:pt idx="334">
                  <c:v>3795.2</c:v>
                </c:pt>
                <c:pt idx="335">
                  <c:v>3824.9</c:v>
                </c:pt>
                <c:pt idx="336">
                  <c:v>3820.85</c:v>
                </c:pt>
                <c:pt idx="337">
                  <c:v>3888.15</c:v>
                </c:pt>
                <c:pt idx="338">
                  <c:v>3912.2</c:v>
                </c:pt>
                <c:pt idx="339">
                  <c:v>3937.6</c:v>
                </c:pt>
                <c:pt idx="340">
                  <c:v>3948.8</c:v>
                </c:pt>
                <c:pt idx="341">
                  <c:v>3948.05</c:v>
                </c:pt>
                <c:pt idx="342">
                  <c:v>3726.2</c:v>
                </c:pt>
                <c:pt idx="343">
                  <c:v>3732</c:v>
                </c:pt>
                <c:pt idx="344">
                  <c:v>3748.4</c:v>
                </c:pt>
                <c:pt idx="345">
                  <c:v>3743.6</c:v>
                </c:pt>
                <c:pt idx="346">
                  <c:v>3696.2</c:v>
                </c:pt>
                <c:pt idx="347">
                  <c:v>3580.65</c:v>
                </c:pt>
                <c:pt idx="348">
                  <c:v>3532.3</c:v>
                </c:pt>
                <c:pt idx="349">
                  <c:v>3496.65</c:v>
                </c:pt>
                <c:pt idx="350">
                  <c:v>3535.85</c:v>
                </c:pt>
                <c:pt idx="351">
                  <c:v>3587.5</c:v>
                </c:pt>
                <c:pt idx="352">
                  <c:v>3582.45</c:v>
                </c:pt>
                <c:pt idx="353">
                  <c:v>3626.85</c:v>
                </c:pt>
                <c:pt idx="354">
                  <c:v>3599.2</c:v>
                </c:pt>
                <c:pt idx="355">
                  <c:v>3598.15</c:v>
                </c:pt>
                <c:pt idx="356">
                  <c:v>3592.75</c:v>
                </c:pt>
                <c:pt idx="357">
                  <c:v>3585.5</c:v>
                </c:pt>
                <c:pt idx="358">
                  <c:v>3590.95</c:v>
                </c:pt>
                <c:pt idx="359">
                  <c:v>3568.4</c:v>
                </c:pt>
                <c:pt idx="360">
                  <c:v>3603</c:v>
                </c:pt>
                <c:pt idx="361">
                  <c:v>3678</c:v>
                </c:pt>
                <c:pt idx="362">
                  <c:v>3667.6</c:v>
                </c:pt>
                <c:pt idx="363">
                  <c:v>3668.55</c:v>
                </c:pt>
                <c:pt idx="364">
                  <c:v>3605.45</c:v>
                </c:pt>
                <c:pt idx="365">
                  <c:v>3573.7</c:v>
                </c:pt>
                <c:pt idx="366">
                  <c:v>3619.55</c:v>
                </c:pt>
                <c:pt idx="367">
                  <c:v>3631.55</c:v>
                </c:pt>
                <c:pt idx="368">
                  <c:v>3573.7</c:v>
                </c:pt>
                <c:pt idx="369">
                  <c:v>3580.1</c:v>
                </c:pt>
                <c:pt idx="370">
                  <c:v>3642.6</c:v>
                </c:pt>
                <c:pt idx="371">
                  <c:v>3670</c:v>
                </c:pt>
                <c:pt idx="372">
                  <c:v>3680.2</c:v>
                </c:pt>
                <c:pt idx="373">
                  <c:v>3703.35</c:v>
                </c:pt>
                <c:pt idx="374">
                  <c:v>3693.65</c:v>
                </c:pt>
                <c:pt idx="375">
                  <c:v>3705.2</c:v>
                </c:pt>
                <c:pt idx="376">
                  <c:v>3726.85</c:v>
                </c:pt>
                <c:pt idx="377">
                  <c:v>3780.1</c:v>
                </c:pt>
                <c:pt idx="378">
                  <c:v>3733</c:v>
                </c:pt>
                <c:pt idx="379">
                  <c:v>3735.75</c:v>
                </c:pt>
                <c:pt idx="380">
                  <c:v>3686.6</c:v>
                </c:pt>
                <c:pt idx="381">
                  <c:v>3502.2</c:v>
                </c:pt>
                <c:pt idx="382">
                  <c:v>3527.8</c:v>
                </c:pt>
                <c:pt idx="383">
                  <c:v>3523.85</c:v>
                </c:pt>
                <c:pt idx="384">
                  <c:v>3572.8</c:v>
                </c:pt>
                <c:pt idx="385">
                  <c:v>3578.55</c:v>
                </c:pt>
                <c:pt idx="386">
                  <c:v>3572.25</c:v>
                </c:pt>
                <c:pt idx="387">
                  <c:v>3608.05</c:v>
                </c:pt>
                <c:pt idx="388">
                  <c:v>3651.9</c:v>
                </c:pt>
                <c:pt idx="389">
                  <c:v>3571.4</c:v>
                </c:pt>
                <c:pt idx="390">
                  <c:v>3612.45</c:v>
                </c:pt>
                <c:pt idx="391">
                  <c:v>3597.15</c:v>
                </c:pt>
                <c:pt idx="392">
                  <c:v>3621.05</c:v>
                </c:pt>
                <c:pt idx="393">
                  <c:v>3547.5</c:v>
                </c:pt>
                <c:pt idx="394">
                  <c:v>3608.9</c:v>
                </c:pt>
                <c:pt idx="395">
                  <c:v>3836.45</c:v>
                </c:pt>
                <c:pt idx="396">
                  <c:v>3781.45</c:v>
                </c:pt>
                <c:pt idx="397">
                  <c:v>3781.45</c:v>
                </c:pt>
                <c:pt idx="398">
                  <c:v>3746.3</c:v>
                </c:pt>
                <c:pt idx="399">
                  <c:v>3414.55</c:v>
                </c:pt>
                <c:pt idx="400">
                  <c:v>3298.75</c:v>
                </c:pt>
                <c:pt idx="401">
                  <c:v>3286.75</c:v>
                </c:pt>
                <c:pt idx="402">
                  <c:v>3271.4</c:v>
                </c:pt>
                <c:pt idx="403">
                  <c:v>3275.7</c:v>
                </c:pt>
                <c:pt idx="404">
                  <c:v>3326.6</c:v>
                </c:pt>
                <c:pt idx="405">
                  <c:v>3289.8</c:v>
                </c:pt>
                <c:pt idx="406">
                  <c:v>3290</c:v>
                </c:pt>
                <c:pt idx="407">
                  <c:v>3287.35</c:v>
                </c:pt>
                <c:pt idx="408">
                  <c:v>3265.95</c:v>
                </c:pt>
                <c:pt idx="409">
                  <c:v>3305.6</c:v>
                </c:pt>
                <c:pt idx="410">
                  <c:v>3299.95</c:v>
                </c:pt>
                <c:pt idx="411">
                  <c:v>3305.4</c:v>
                </c:pt>
                <c:pt idx="412">
                  <c:v>3342.65</c:v>
                </c:pt>
                <c:pt idx="413">
                  <c:v>3375.55</c:v>
                </c:pt>
                <c:pt idx="414">
                  <c:v>3372.7</c:v>
                </c:pt>
                <c:pt idx="415">
                  <c:v>3404.7</c:v>
                </c:pt>
                <c:pt idx="416">
                  <c:v>3409.05</c:v>
                </c:pt>
                <c:pt idx="417">
                  <c:v>3381.25</c:v>
                </c:pt>
                <c:pt idx="418">
                  <c:v>3368.85</c:v>
                </c:pt>
                <c:pt idx="419">
                  <c:v>3355.9</c:v>
                </c:pt>
                <c:pt idx="420">
                  <c:v>3338.25</c:v>
                </c:pt>
                <c:pt idx="421">
                  <c:v>3287.45</c:v>
                </c:pt>
                <c:pt idx="422">
                  <c:v>3274.05</c:v>
                </c:pt>
                <c:pt idx="423">
                  <c:v>3338.8</c:v>
                </c:pt>
                <c:pt idx="424">
                  <c:v>3355.55</c:v>
                </c:pt>
                <c:pt idx="425">
                  <c:v>3393.85</c:v>
                </c:pt>
                <c:pt idx="426">
                  <c:v>3365.45</c:v>
                </c:pt>
                <c:pt idx="427">
                  <c:v>3326.9</c:v>
                </c:pt>
                <c:pt idx="428">
                  <c:v>3345.85</c:v>
                </c:pt>
                <c:pt idx="429">
                  <c:v>3351.55</c:v>
                </c:pt>
                <c:pt idx="430">
                  <c:v>3518.75</c:v>
                </c:pt>
                <c:pt idx="431">
                  <c:v>3495.9</c:v>
                </c:pt>
                <c:pt idx="432">
                  <c:v>3498.45</c:v>
                </c:pt>
                <c:pt idx="433">
                  <c:v>3428.8</c:v>
                </c:pt>
                <c:pt idx="434">
                  <c:v>3477.1</c:v>
                </c:pt>
                <c:pt idx="435">
                  <c:v>3446.35</c:v>
                </c:pt>
                <c:pt idx="436">
                  <c:v>3412.2</c:v>
                </c:pt>
                <c:pt idx="437">
                  <c:v>3413.2</c:v>
                </c:pt>
                <c:pt idx="438">
                  <c:v>3372.65</c:v>
                </c:pt>
                <c:pt idx="439">
                  <c:v>3393</c:v>
                </c:pt>
                <c:pt idx="440">
                  <c:v>3435.55</c:v>
                </c:pt>
                <c:pt idx="441">
                  <c:v>3461.85</c:v>
                </c:pt>
                <c:pt idx="442">
                  <c:v>3434.9</c:v>
                </c:pt>
                <c:pt idx="443">
                  <c:v>3459.5</c:v>
                </c:pt>
                <c:pt idx="444">
                  <c:v>3501.85</c:v>
                </c:pt>
                <c:pt idx="445">
                  <c:v>3411.45</c:v>
                </c:pt>
                <c:pt idx="446">
                  <c:v>3305.3</c:v>
                </c:pt>
                <c:pt idx="447">
                  <c:v>3351.7</c:v>
                </c:pt>
                <c:pt idx="448">
                  <c:v>3333.2</c:v>
                </c:pt>
                <c:pt idx="449">
                  <c:v>3347.4</c:v>
                </c:pt>
                <c:pt idx="450">
                  <c:v>3388.5</c:v>
                </c:pt>
                <c:pt idx="451">
                  <c:v>3382</c:v>
                </c:pt>
                <c:pt idx="452">
                  <c:v>3343.15</c:v>
                </c:pt>
                <c:pt idx="453">
                  <c:v>3385.7</c:v>
                </c:pt>
                <c:pt idx="454">
                  <c:v>3356.05</c:v>
                </c:pt>
                <c:pt idx="455">
                  <c:v>3335.7</c:v>
                </c:pt>
                <c:pt idx="456">
                  <c:v>3387.45</c:v>
                </c:pt>
                <c:pt idx="457">
                  <c:v>3366.4</c:v>
                </c:pt>
                <c:pt idx="458">
                  <c:v>3315.3</c:v>
                </c:pt>
                <c:pt idx="459">
                  <c:v>3356.85</c:v>
                </c:pt>
                <c:pt idx="460">
                  <c:v>3267</c:v>
                </c:pt>
                <c:pt idx="461">
                  <c:v>2884.35</c:v>
                </c:pt>
                <c:pt idx="462">
                  <c:v>2778</c:v>
                </c:pt>
                <c:pt idx="463">
                  <c:v>2750.85</c:v>
                </c:pt>
                <c:pt idx="464">
                  <c:v>2799.05</c:v>
                </c:pt>
                <c:pt idx="465">
                  <c:v>2823.15</c:v>
                </c:pt>
                <c:pt idx="466">
                  <c:v>2811.25</c:v>
                </c:pt>
                <c:pt idx="467">
                  <c:v>2773.2</c:v>
                </c:pt>
                <c:pt idx="468">
                  <c:v>2791.65</c:v>
                </c:pt>
                <c:pt idx="469">
                  <c:v>2822.55</c:v>
                </c:pt>
                <c:pt idx="470">
                  <c:v>2876.6</c:v>
                </c:pt>
                <c:pt idx="471">
                  <c:v>2829.8</c:v>
                </c:pt>
                <c:pt idx="472">
                  <c:v>2900.6</c:v>
                </c:pt>
                <c:pt idx="473">
                  <c:v>2918.6</c:v>
                </c:pt>
                <c:pt idx="474">
                  <c:v>2920.55</c:v>
                </c:pt>
                <c:pt idx="475">
                  <c:v>2873.2</c:v>
                </c:pt>
                <c:pt idx="476">
                  <c:v>2915.2</c:v>
                </c:pt>
                <c:pt idx="477">
                  <c:v>2858.5</c:v>
                </c:pt>
                <c:pt idx="478">
                  <c:v>2825.6</c:v>
                </c:pt>
                <c:pt idx="479">
                  <c:v>2845.3</c:v>
                </c:pt>
                <c:pt idx="480">
                  <c:v>2861.15</c:v>
                </c:pt>
                <c:pt idx="481">
                  <c:v>2850.4</c:v>
                </c:pt>
                <c:pt idx="482">
                  <c:v>2846.8</c:v>
                </c:pt>
                <c:pt idx="483">
                  <c:v>2834.5</c:v>
                </c:pt>
                <c:pt idx="484">
                  <c:v>2810.2</c:v>
                </c:pt>
                <c:pt idx="485">
                  <c:v>2787.5</c:v>
                </c:pt>
                <c:pt idx="486">
                  <c:v>2767</c:v>
                </c:pt>
                <c:pt idx="487">
                  <c:v>2757.05</c:v>
                </c:pt>
                <c:pt idx="488">
                  <c:v>2775.8</c:v>
                </c:pt>
                <c:pt idx="489">
                  <c:v>2801.6</c:v>
                </c:pt>
                <c:pt idx="490">
                  <c:v>2791.5</c:v>
                </c:pt>
                <c:pt idx="491">
                  <c:v>2800.2</c:v>
                </c:pt>
                <c:pt idx="492">
                  <c:v>2767.9</c:v>
                </c:pt>
                <c:pt idx="493">
                  <c:v>2790.65</c:v>
                </c:pt>
                <c:pt idx="494">
                  <c:v>2803.1</c:v>
                </c:pt>
                <c:pt idx="495">
                  <c:v>2807</c:v>
                </c:pt>
                <c:pt idx="496">
                  <c:v>2829.2</c:v>
                </c:pt>
                <c:pt idx="497">
                  <c:v>2806.45</c:v>
                </c:pt>
                <c:pt idx="498">
                  <c:v>2820.25</c:v>
                </c:pt>
                <c:pt idx="499">
                  <c:v>2823.35</c:v>
                </c:pt>
                <c:pt idx="500">
                  <c:v>2874.7</c:v>
                </c:pt>
                <c:pt idx="501">
                  <c:v>2889.8</c:v>
                </c:pt>
                <c:pt idx="502">
                  <c:v>2921.45</c:v>
                </c:pt>
                <c:pt idx="503">
                  <c:v>2909.65</c:v>
                </c:pt>
                <c:pt idx="504">
                  <c:v>2927.35</c:v>
                </c:pt>
                <c:pt idx="505">
                  <c:v>3212.1</c:v>
                </c:pt>
                <c:pt idx="506">
                  <c:v>3183.95</c:v>
                </c:pt>
                <c:pt idx="507">
                  <c:v>3162.65</c:v>
                </c:pt>
                <c:pt idx="508">
                  <c:v>3270.6</c:v>
                </c:pt>
                <c:pt idx="509">
                  <c:v>3342.6</c:v>
                </c:pt>
                <c:pt idx="510">
                  <c:v>3203.1</c:v>
                </c:pt>
                <c:pt idx="511">
                  <c:v>3231.65</c:v>
                </c:pt>
                <c:pt idx="512">
                  <c:v>3192.85</c:v>
                </c:pt>
                <c:pt idx="513">
                  <c:v>3226.45</c:v>
                </c:pt>
                <c:pt idx="514">
                  <c:v>3220</c:v>
                </c:pt>
                <c:pt idx="515">
                  <c:v>3238.45</c:v>
                </c:pt>
                <c:pt idx="516">
                  <c:v>3267.9</c:v>
                </c:pt>
                <c:pt idx="517">
                  <c:v>3253.7</c:v>
                </c:pt>
                <c:pt idx="518">
                  <c:v>3268.75</c:v>
                </c:pt>
                <c:pt idx="519">
                  <c:v>3282.55</c:v>
                </c:pt>
                <c:pt idx="520">
                  <c:v>3290.8</c:v>
                </c:pt>
                <c:pt idx="521">
                  <c:v>3286.3</c:v>
                </c:pt>
                <c:pt idx="522">
                  <c:v>3383.2</c:v>
                </c:pt>
                <c:pt idx="523">
                  <c:v>3425.25</c:v>
                </c:pt>
                <c:pt idx="524">
                  <c:v>3329.2</c:v>
                </c:pt>
                <c:pt idx="525">
                  <c:v>3315.05</c:v>
                </c:pt>
                <c:pt idx="526">
                  <c:v>3276.5</c:v>
                </c:pt>
                <c:pt idx="527">
                  <c:v>3279.45</c:v>
                </c:pt>
                <c:pt idx="528">
                  <c:v>3268</c:v>
                </c:pt>
                <c:pt idx="529">
                  <c:v>3153.5</c:v>
                </c:pt>
                <c:pt idx="530">
                  <c:v>3098.3</c:v>
                </c:pt>
                <c:pt idx="531">
                  <c:v>3265</c:v>
                </c:pt>
                <c:pt idx="532">
                  <c:v>3385.8</c:v>
                </c:pt>
                <c:pt idx="533">
                  <c:v>3383.15</c:v>
                </c:pt>
                <c:pt idx="534">
                  <c:v>3435.65</c:v>
                </c:pt>
                <c:pt idx="535">
                  <c:v>3514</c:v>
                </c:pt>
                <c:pt idx="536">
                  <c:v>3477.85</c:v>
                </c:pt>
                <c:pt idx="537">
                  <c:v>3458</c:v>
                </c:pt>
                <c:pt idx="538">
                  <c:v>3443.6</c:v>
                </c:pt>
                <c:pt idx="539">
                  <c:v>3525.4</c:v>
                </c:pt>
                <c:pt idx="540">
                  <c:v>3511.6</c:v>
                </c:pt>
                <c:pt idx="541">
                  <c:v>3462.3</c:v>
                </c:pt>
                <c:pt idx="542">
                  <c:v>3537.9</c:v>
                </c:pt>
                <c:pt idx="543">
                  <c:v>3542.1</c:v>
                </c:pt>
                <c:pt idx="544">
                  <c:v>3499.7</c:v>
                </c:pt>
                <c:pt idx="545">
                  <c:v>3428.75</c:v>
                </c:pt>
                <c:pt idx="546">
                  <c:v>3438.45</c:v>
                </c:pt>
                <c:pt idx="547">
                  <c:v>3487.7</c:v>
                </c:pt>
                <c:pt idx="548">
                  <c:v>3485.95</c:v>
                </c:pt>
                <c:pt idx="549">
                  <c:v>3581.05</c:v>
                </c:pt>
                <c:pt idx="550">
                  <c:v>3579.6</c:v>
                </c:pt>
                <c:pt idx="551">
                  <c:v>3584.75</c:v>
                </c:pt>
                <c:pt idx="552">
                  <c:v>3566.2</c:v>
                </c:pt>
                <c:pt idx="553">
                  <c:v>3509.55</c:v>
                </c:pt>
                <c:pt idx="554">
                  <c:v>3543.85</c:v>
                </c:pt>
                <c:pt idx="555">
                  <c:v>3462.95</c:v>
                </c:pt>
                <c:pt idx="556">
                  <c:v>3534.35</c:v>
                </c:pt>
                <c:pt idx="557">
                  <c:v>3583.3</c:v>
                </c:pt>
                <c:pt idx="558">
                  <c:v>3601.55</c:v>
                </c:pt>
                <c:pt idx="559">
                  <c:v>3583.6</c:v>
                </c:pt>
                <c:pt idx="560">
                  <c:v>3587.55</c:v>
                </c:pt>
                <c:pt idx="561">
                  <c:v>3550.1</c:v>
                </c:pt>
                <c:pt idx="562">
                  <c:v>3747.95</c:v>
                </c:pt>
                <c:pt idx="563">
                  <c:v>3736.85</c:v>
                </c:pt>
                <c:pt idx="564">
                  <c:v>3668.65</c:v>
                </c:pt>
                <c:pt idx="565">
                  <c:v>3639.95</c:v>
                </c:pt>
                <c:pt idx="566">
                  <c:v>3641.45</c:v>
                </c:pt>
                <c:pt idx="567">
                  <c:v>3633.5</c:v>
                </c:pt>
                <c:pt idx="568">
                  <c:v>3620.9</c:v>
                </c:pt>
                <c:pt idx="569">
                  <c:v>3677.2</c:v>
                </c:pt>
                <c:pt idx="570">
                  <c:v>3662.9</c:v>
                </c:pt>
                <c:pt idx="571">
                  <c:v>3626.65</c:v>
                </c:pt>
                <c:pt idx="572">
                  <c:v>3638.05</c:v>
                </c:pt>
                <c:pt idx="573">
                  <c:v>3666.55</c:v>
                </c:pt>
                <c:pt idx="574">
                  <c:v>3688.3</c:v>
                </c:pt>
                <c:pt idx="575">
                  <c:v>3686</c:v>
                </c:pt>
                <c:pt idx="576">
                  <c:v>3719.4</c:v>
                </c:pt>
                <c:pt idx="577">
                  <c:v>3680.45</c:v>
                </c:pt>
                <c:pt idx="578">
                  <c:v>3741.9</c:v>
                </c:pt>
                <c:pt idx="579">
                  <c:v>3739.05</c:v>
                </c:pt>
                <c:pt idx="580">
                  <c:v>3684.3</c:v>
                </c:pt>
                <c:pt idx="581">
                  <c:v>3639.5</c:v>
                </c:pt>
                <c:pt idx="582">
                  <c:v>3690.6</c:v>
                </c:pt>
                <c:pt idx="583">
                  <c:v>3726.3</c:v>
                </c:pt>
                <c:pt idx="584">
                  <c:v>3745.4</c:v>
                </c:pt>
                <c:pt idx="585">
                  <c:v>3910.55</c:v>
                </c:pt>
                <c:pt idx="586">
                  <c:v>3846.4</c:v>
                </c:pt>
                <c:pt idx="587">
                  <c:v>3737.7</c:v>
                </c:pt>
                <c:pt idx="588">
                  <c:v>3745.5</c:v>
                </c:pt>
                <c:pt idx="589">
                  <c:v>3679.15</c:v>
                </c:pt>
                <c:pt idx="590">
                  <c:v>3730.55</c:v>
                </c:pt>
                <c:pt idx="591">
                  <c:v>3712.1</c:v>
                </c:pt>
                <c:pt idx="592">
                  <c:v>3654.75</c:v>
                </c:pt>
                <c:pt idx="593">
                  <c:v>3654.9</c:v>
                </c:pt>
                <c:pt idx="594">
                  <c:v>3665.25</c:v>
                </c:pt>
                <c:pt idx="595">
                  <c:v>3653.25</c:v>
                </c:pt>
                <c:pt idx="596">
                  <c:v>3704.15</c:v>
                </c:pt>
                <c:pt idx="597">
                  <c:v>3664.25</c:v>
                </c:pt>
                <c:pt idx="598">
                  <c:v>3636.5</c:v>
                </c:pt>
                <c:pt idx="599">
                  <c:v>3633.25</c:v>
                </c:pt>
                <c:pt idx="600">
                  <c:v>3657.1</c:v>
                </c:pt>
                <c:pt idx="601">
                  <c:v>3630.8</c:v>
                </c:pt>
                <c:pt idx="602">
                  <c:v>3592.1</c:v>
                </c:pt>
                <c:pt idx="603">
                  <c:v>3589.3</c:v>
                </c:pt>
                <c:pt idx="604">
                  <c:v>3629.35</c:v>
                </c:pt>
                <c:pt idx="605">
                  <c:v>3642.3</c:v>
                </c:pt>
                <c:pt idx="606">
                  <c:v>3707.95</c:v>
                </c:pt>
                <c:pt idx="607">
                  <c:v>3694</c:v>
                </c:pt>
                <c:pt idx="608">
                  <c:v>3698.8</c:v>
                </c:pt>
                <c:pt idx="609">
                  <c:v>3736.25</c:v>
                </c:pt>
                <c:pt idx="610">
                  <c:v>3787.8</c:v>
                </c:pt>
                <c:pt idx="611">
                  <c:v>3750.85</c:v>
                </c:pt>
                <c:pt idx="612">
                  <c:v>3817.9</c:v>
                </c:pt>
                <c:pt idx="613">
                  <c:v>3815.5</c:v>
                </c:pt>
                <c:pt idx="614">
                  <c:v>3785.3</c:v>
                </c:pt>
                <c:pt idx="615">
                  <c:v>3779.6</c:v>
                </c:pt>
                <c:pt idx="616">
                  <c:v>3746.8</c:v>
                </c:pt>
                <c:pt idx="617">
                  <c:v>3705.05</c:v>
                </c:pt>
                <c:pt idx="618">
                  <c:v>3728.5</c:v>
                </c:pt>
                <c:pt idx="619">
                  <c:v>3753.8</c:v>
                </c:pt>
                <c:pt idx="620">
                  <c:v>3768</c:v>
                </c:pt>
                <c:pt idx="621">
                  <c:v>3665</c:v>
                </c:pt>
                <c:pt idx="622">
                  <c:v>3765.15</c:v>
                </c:pt>
                <c:pt idx="623">
                  <c:v>3724.45</c:v>
                </c:pt>
                <c:pt idx="624">
                  <c:v>3707.75</c:v>
                </c:pt>
                <c:pt idx="625">
                  <c:v>3697.2</c:v>
                </c:pt>
                <c:pt idx="626">
                  <c:v>3721.8</c:v>
                </c:pt>
                <c:pt idx="627">
                  <c:v>3705.3</c:v>
                </c:pt>
                <c:pt idx="628">
                  <c:v>3713.65</c:v>
                </c:pt>
                <c:pt idx="629">
                  <c:v>3750.55</c:v>
                </c:pt>
                <c:pt idx="630">
                  <c:v>3755.25</c:v>
                </c:pt>
                <c:pt idx="631">
                  <c:v>3735.35</c:v>
                </c:pt>
                <c:pt idx="632">
                  <c:v>3655.2</c:v>
                </c:pt>
                <c:pt idx="633">
                  <c:v>3646.6</c:v>
                </c:pt>
                <c:pt idx="634">
                  <c:v>3641.2</c:v>
                </c:pt>
                <c:pt idx="635">
                  <c:v>3637.75</c:v>
                </c:pt>
                <c:pt idx="636">
                  <c:v>3554.3</c:v>
                </c:pt>
                <c:pt idx="637">
                  <c:v>3500.95</c:v>
                </c:pt>
                <c:pt idx="638">
                  <c:v>3443.45</c:v>
                </c:pt>
                <c:pt idx="639">
                  <c:v>3406.4</c:v>
                </c:pt>
                <c:pt idx="640">
                  <c:v>3411.95</c:v>
                </c:pt>
                <c:pt idx="641">
                  <c:v>3403.4</c:v>
                </c:pt>
                <c:pt idx="642">
                  <c:v>3388.35</c:v>
                </c:pt>
                <c:pt idx="643">
                  <c:v>3346.05</c:v>
                </c:pt>
                <c:pt idx="644">
                  <c:v>3343.7</c:v>
                </c:pt>
                <c:pt idx="645">
                  <c:v>3350.7</c:v>
                </c:pt>
                <c:pt idx="646">
                  <c:v>3506.7</c:v>
                </c:pt>
                <c:pt idx="647">
                  <c:v>3481.4</c:v>
                </c:pt>
                <c:pt idx="648">
                  <c:v>3490.9</c:v>
                </c:pt>
                <c:pt idx="649">
                  <c:v>3498.5</c:v>
                </c:pt>
                <c:pt idx="650">
                  <c:v>3493.2</c:v>
                </c:pt>
                <c:pt idx="651">
                  <c:v>3516.9</c:v>
                </c:pt>
                <c:pt idx="652">
                  <c:v>3510</c:v>
                </c:pt>
                <c:pt idx="653">
                  <c:v>3536.85</c:v>
                </c:pt>
                <c:pt idx="654">
                  <c:v>3548.25</c:v>
                </c:pt>
                <c:pt idx="655">
                  <c:v>3600.85</c:v>
                </c:pt>
                <c:pt idx="656">
                  <c:v>3672.95</c:v>
                </c:pt>
                <c:pt idx="657">
                  <c:v>3721.6</c:v>
                </c:pt>
                <c:pt idx="658">
                  <c:v>3701.7</c:v>
                </c:pt>
                <c:pt idx="659">
                  <c:v>3688.5</c:v>
                </c:pt>
                <c:pt idx="660">
                  <c:v>3764.8</c:v>
                </c:pt>
                <c:pt idx="661">
                  <c:v>3760.15</c:v>
                </c:pt>
                <c:pt idx="662">
                  <c:v>3729.75</c:v>
                </c:pt>
                <c:pt idx="663">
                  <c:v>3788.7</c:v>
                </c:pt>
                <c:pt idx="664">
                  <c:v>3792.7</c:v>
                </c:pt>
                <c:pt idx="665">
                  <c:v>3798.1</c:v>
                </c:pt>
                <c:pt idx="666">
                  <c:v>3741.15</c:v>
                </c:pt>
                <c:pt idx="667">
                  <c:v>3734.45</c:v>
                </c:pt>
                <c:pt idx="668">
                  <c:v>3734.35</c:v>
                </c:pt>
                <c:pt idx="669">
                  <c:v>3681.75</c:v>
                </c:pt>
                <c:pt idx="670">
                  <c:v>3670.5</c:v>
                </c:pt>
                <c:pt idx="671">
                  <c:v>3647.6</c:v>
                </c:pt>
                <c:pt idx="672">
                  <c:v>3656</c:v>
                </c:pt>
                <c:pt idx="673">
                  <c:v>3683.2</c:v>
                </c:pt>
                <c:pt idx="674">
                  <c:v>3697.05</c:v>
                </c:pt>
                <c:pt idx="675">
                  <c:v>3713.05</c:v>
                </c:pt>
                <c:pt idx="676">
                  <c:v>3723.9</c:v>
                </c:pt>
                <c:pt idx="677">
                  <c:v>3620</c:v>
                </c:pt>
                <c:pt idx="678">
                  <c:v>3632.7</c:v>
                </c:pt>
                <c:pt idx="679">
                  <c:v>3694.95</c:v>
                </c:pt>
                <c:pt idx="680">
                  <c:v>3863.5</c:v>
                </c:pt>
                <c:pt idx="681">
                  <c:v>3884.25</c:v>
                </c:pt>
                <c:pt idx="682">
                  <c:v>3939.95</c:v>
                </c:pt>
                <c:pt idx="683">
                  <c:v>3903.9</c:v>
                </c:pt>
                <c:pt idx="684">
                  <c:v>3915.9</c:v>
                </c:pt>
                <c:pt idx="685">
                  <c:v>4030</c:v>
                </c:pt>
                <c:pt idx="686">
                  <c:v>4030.6</c:v>
                </c:pt>
                <c:pt idx="687">
                  <c:v>4042.15</c:v>
                </c:pt>
                <c:pt idx="688">
                  <c:v>4014.75</c:v>
                </c:pt>
                <c:pt idx="689">
                  <c:v>3934.15</c:v>
                </c:pt>
                <c:pt idx="690">
                  <c:v>3984.65</c:v>
                </c:pt>
                <c:pt idx="691">
                  <c:v>3902.65</c:v>
                </c:pt>
                <c:pt idx="692">
                  <c:v>3905.2</c:v>
                </c:pt>
                <c:pt idx="693">
                  <c:v>3883.95</c:v>
                </c:pt>
                <c:pt idx="694">
                  <c:v>3909.6</c:v>
                </c:pt>
                <c:pt idx="695">
                  <c:v>3814.5</c:v>
                </c:pt>
                <c:pt idx="696">
                  <c:v>3728.8</c:v>
                </c:pt>
                <c:pt idx="697">
                  <c:v>3700.2</c:v>
                </c:pt>
                <c:pt idx="698">
                  <c:v>3693.8</c:v>
                </c:pt>
                <c:pt idx="699">
                  <c:v>3649.55</c:v>
                </c:pt>
                <c:pt idx="700">
                  <c:v>3615.35</c:v>
                </c:pt>
                <c:pt idx="701">
                  <c:v>3643.55</c:v>
                </c:pt>
                <c:pt idx="702">
                  <c:v>3578.9</c:v>
                </c:pt>
                <c:pt idx="703">
                  <c:v>3570.6</c:v>
                </c:pt>
                <c:pt idx="704">
                  <c:v>3551.7</c:v>
                </c:pt>
                <c:pt idx="705">
                  <c:v>3670.6</c:v>
                </c:pt>
                <c:pt idx="706">
                  <c:v>3655.4</c:v>
                </c:pt>
                <c:pt idx="707">
                  <c:v>3699.4</c:v>
                </c:pt>
                <c:pt idx="708">
                  <c:v>3699.5</c:v>
                </c:pt>
                <c:pt idx="709">
                  <c:v>3726.5</c:v>
                </c:pt>
                <c:pt idx="710">
                  <c:v>3731.8</c:v>
                </c:pt>
                <c:pt idx="711">
                  <c:v>3684.4</c:v>
                </c:pt>
                <c:pt idx="712">
                  <c:v>3652.3</c:v>
                </c:pt>
                <c:pt idx="713">
                  <c:v>3740.15</c:v>
                </c:pt>
                <c:pt idx="714">
                  <c:v>3700.45</c:v>
                </c:pt>
                <c:pt idx="715">
                  <c:v>3719.65</c:v>
                </c:pt>
                <c:pt idx="716">
                  <c:v>3708.85</c:v>
                </c:pt>
                <c:pt idx="717">
                  <c:v>3729.2</c:v>
                </c:pt>
                <c:pt idx="718">
                  <c:v>3723.45</c:v>
                </c:pt>
                <c:pt idx="719">
                  <c:v>3712.75</c:v>
                </c:pt>
                <c:pt idx="720">
                  <c:v>3649.1</c:v>
                </c:pt>
                <c:pt idx="721">
                  <c:v>3645.4</c:v>
                </c:pt>
                <c:pt idx="722">
                  <c:v>3648.1</c:v>
                </c:pt>
                <c:pt idx="723">
                  <c:v>3577.35</c:v>
                </c:pt>
                <c:pt idx="724">
                  <c:v>3539.8</c:v>
                </c:pt>
                <c:pt idx="725">
                  <c:v>3518.35</c:v>
                </c:pt>
                <c:pt idx="726">
                  <c:v>3488.8</c:v>
                </c:pt>
                <c:pt idx="727">
                  <c:v>3482.4</c:v>
                </c:pt>
                <c:pt idx="728">
                  <c:v>3508.5</c:v>
                </c:pt>
                <c:pt idx="729">
                  <c:v>3482.3</c:v>
                </c:pt>
                <c:pt idx="730">
                  <c:v>3484.45</c:v>
                </c:pt>
                <c:pt idx="731">
                  <c:v>3544.65</c:v>
                </c:pt>
                <c:pt idx="732">
                  <c:v>3601.6</c:v>
                </c:pt>
                <c:pt idx="733">
                  <c:v>3604.75</c:v>
                </c:pt>
                <c:pt idx="734">
                  <c:v>3577.75</c:v>
                </c:pt>
                <c:pt idx="735">
                  <c:v>3479.8</c:v>
                </c:pt>
                <c:pt idx="736">
                  <c:v>3517.9</c:v>
                </c:pt>
                <c:pt idx="737">
                  <c:v>3485.4</c:v>
                </c:pt>
                <c:pt idx="738">
                  <c:v>3506.6</c:v>
                </c:pt>
                <c:pt idx="739">
                  <c:v>3447.15</c:v>
                </c:pt>
                <c:pt idx="740">
                  <c:v>3428.3</c:v>
                </c:pt>
                <c:pt idx="741">
                  <c:v>3465.3</c:v>
                </c:pt>
                <c:pt idx="742">
                  <c:v>3431.45</c:v>
                </c:pt>
                <c:pt idx="743">
                  <c:v>3391</c:v>
                </c:pt>
                <c:pt idx="744">
                  <c:v>3367.85</c:v>
                </c:pt>
                <c:pt idx="745">
                  <c:v>3445.3</c:v>
                </c:pt>
                <c:pt idx="746">
                  <c:v>3567.95</c:v>
                </c:pt>
                <c:pt idx="747">
                  <c:v>3622.5</c:v>
                </c:pt>
                <c:pt idx="748">
                  <c:v>3684.9</c:v>
                </c:pt>
                <c:pt idx="749">
                  <c:v>3734.2</c:v>
                </c:pt>
                <c:pt idx="750">
                  <c:v>3748.15</c:v>
                </c:pt>
                <c:pt idx="751">
                  <c:v>3796</c:v>
                </c:pt>
                <c:pt idx="752">
                  <c:v>3804.95</c:v>
                </c:pt>
                <c:pt idx="753">
                  <c:v>3739.1</c:v>
                </c:pt>
                <c:pt idx="754">
                  <c:v>3779.7</c:v>
                </c:pt>
                <c:pt idx="755">
                  <c:v>3716.55</c:v>
                </c:pt>
                <c:pt idx="756">
                  <c:v>3764.2</c:v>
                </c:pt>
                <c:pt idx="757">
                  <c:v>3708.9</c:v>
                </c:pt>
                <c:pt idx="758">
                  <c:v>3671.7</c:v>
                </c:pt>
                <c:pt idx="759">
                  <c:v>3737.5</c:v>
                </c:pt>
                <c:pt idx="760">
                  <c:v>3768.65</c:v>
                </c:pt>
                <c:pt idx="761">
                  <c:v>3813.8</c:v>
                </c:pt>
                <c:pt idx="762">
                  <c:v>3843.8</c:v>
                </c:pt>
                <c:pt idx="763">
                  <c:v>4016.35</c:v>
                </c:pt>
                <c:pt idx="764">
                  <c:v>3989.25</c:v>
                </c:pt>
                <c:pt idx="765">
                  <c:v>4002.4</c:v>
                </c:pt>
                <c:pt idx="766">
                  <c:v>3964.65</c:v>
                </c:pt>
                <c:pt idx="767">
                  <c:v>3950.95</c:v>
                </c:pt>
                <c:pt idx="768">
                  <c:v>3963</c:v>
                </c:pt>
                <c:pt idx="769">
                  <c:v>3911.4</c:v>
                </c:pt>
                <c:pt idx="770">
                  <c:v>3927.35</c:v>
                </c:pt>
                <c:pt idx="771">
                  <c:v>3789.95</c:v>
                </c:pt>
                <c:pt idx="772">
                  <c:v>3793.5</c:v>
                </c:pt>
                <c:pt idx="773">
                  <c:v>3911.5</c:v>
                </c:pt>
                <c:pt idx="774">
                  <c:v>3896.2</c:v>
                </c:pt>
                <c:pt idx="775">
                  <c:v>3892.55</c:v>
                </c:pt>
                <c:pt idx="776">
                  <c:v>3931.15</c:v>
                </c:pt>
                <c:pt idx="777">
                  <c:v>3910.75</c:v>
                </c:pt>
                <c:pt idx="778">
                  <c:v>3929</c:v>
                </c:pt>
                <c:pt idx="779">
                  <c:v>4016.55</c:v>
                </c:pt>
                <c:pt idx="780">
                  <c:v>4058.55</c:v>
                </c:pt>
                <c:pt idx="781">
                  <c:v>4113</c:v>
                </c:pt>
                <c:pt idx="782">
                  <c:v>4122.3999999999996</c:v>
                </c:pt>
                <c:pt idx="783">
                  <c:v>4255.25</c:v>
                </c:pt>
                <c:pt idx="784">
                  <c:v>4392.1000000000004</c:v>
                </c:pt>
                <c:pt idx="785">
                  <c:v>4448</c:v>
                </c:pt>
                <c:pt idx="786">
                  <c:v>4412.8</c:v>
                </c:pt>
                <c:pt idx="787">
                  <c:v>4307.2</c:v>
                </c:pt>
                <c:pt idx="788">
                  <c:v>4321.8999999999996</c:v>
                </c:pt>
                <c:pt idx="789">
                  <c:v>4324.1499999999996</c:v>
                </c:pt>
                <c:pt idx="790">
                  <c:v>4502.7</c:v>
                </c:pt>
                <c:pt idx="791">
                  <c:v>4448.8999999999996</c:v>
                </c:pt>
                <c:pt idx="792">
                  <c:v>4524.05</c:v>
                </c:pt>
                <c:pt idx="793">
                  <c:v>4536.25</c:v>
                </c:pt>
                <c:pt idx="794">
                  <c:v>4475.45</c:v>
                </c:pt>
                <c:pt idx="795">
                  <c:v>4452.3500000000004</c:v>
                </c:pt>
                <c:pt idx="796">
                  <c:v>4593.5</c:v>
                </c:pt>
                <c:pt idx="797">
                  <c:v>4588.6000000000004</c:v>
                </c:pt>
                <c:pt idx="798">
                  <c:v>4564.5</c:v>
                </c:pt>
                <c:pt idx="799">
                  <c:v>4479.7</c:v>
                </c:pt>
                <c:pt idx="800">
                  <c:v>4504.05</c:v>
                </c:pt>
                <c:pt idx="801">
                  <c:v>4522.1499999999996</c:v>
                </c:pt>
                <c:pt idx="802">
                  <c:v>4519.55</c:v>
                </c:pt>
                <c:pt idx="803">
                  <c:v>4539.3</c:v>
                </c:pt>
                <c:pt idx="804">
                  <c:v>4545.3500000000004</c:v>
                </c:pt>
                <c:pt idx="805">
                  <c:v>4522.3500000000004</c:v>
                </c:pt>
                <c:pt idx="806">
                  <c:v>4596.45</c:v>
                </c:pt>
                <c:pt idx="807">
                  <c:v>4602.1000000000004</c:v>
                </c:pt>
                <c:pt idx="808">
                  <c:v>4571.45</c:v>
                </c:pt>
                <c:pt idx="809">
                  <c:v>4559.1499999999996</c:v>
                </c:pt>
                <c:pt idx="810">
                  <c:v>4544.05</c:v>
                </c:pt>
                <c:pt idx="811">
                  <c:v>4629.7</c:v>
                </c:pt>
                <c:pt idx="812">
                  <c:v>4464.2</c:v>
                </c:pt>
                <c:pt idx="813">
                  <c:v>4551.95</c:v>
                </c:pt>
                <c:pt idx="814">
                  <c:v>4636.95</c:v>
                </c:pt>
                <c:pt idx="815">
                  <c:v>4582.5</c:v>
                </c:pt>
                <c:pt idx="816">
                  <c:v>4539.3</c:v>
                </c:pt>
                <c:pt idx="817">
                  <c:v>4575.3999999999996</c:v>
                </c:pt>
                <c:pt idx="818">
                  <c:v>4570.8</c:v>
                </c:pt>
                <c:pt idx="819">
                  <c:v>4584.8</c:v>
                </c:pt>
                <c:pt idx="820">
                  <c:v>4519.8</c:v>
                </c:pt>
                <c:pt idx="821">
                  <c:v>4534.8</c:v>
                </c:pt>
                <c:pt idx="822">
                  <c:v>4527</c:v>
                </c:pt>
                <c:pt idx="823">
                  <c:v>4551.6000000000004</c:v>
                </c:pt>
                <c:pt idx="824">
                  <c:v>4547</c:v>
                </c:pt>
                <c:pt idx="825">
                  <c:v>4790.6000000000004</c:v>
                </c:pt>
                <c:pt idx="826">
                  <c:v>4923.8500000000004</c:v>
                </c:pt>
                <c:pt idx="827">
                  <c:v>4912.3500000000004</c:v>
                </c:pt>
                <c:pt idx="828">
                  <c:v>4923.2</c:v>
                </c:pt>
                <c:pt idx="829">
                  <c:v>4917.8999999999996</c:v>
                </c:pt>
                <c:pt idx="830">
                  <c:v>4991.25</c:v>
                </c:pt>
                <c:pt idx="831">
                  <c:v>4826.95</c:v>
                </c:pt>
                <c:pt idx="832">
                  <c:v>4827.55</c:v>
                </c:pt>
                <c:pt idx="833">
                  <c:v>4946.5</c:v>
                </c:pt>
                <c:pt idx="834">
                  <c:v>4834.5</c:v>
                </c:pt>
                <c:pt idx="835">
                  <c:v>4829.95</c:v>
                </c:pt>
                <c:pt idx="836">
                  <c:v>4891</c:v>
                </c:pt>
                <c:pt idx="837">
                  <c:v>4861.8</c:v>
                </c:pt>
                <c:pt idx="838">
                  <c:v>4662</c:v>
                </c:pt>
                <c:pt idx="839">
                  <c:v>4633.8999999999996</c:v>
                </c:pt>
                <c:pt idx="840">
                  <c:v>4669.8999999999996</c:v>
                </c:pt>
                <c:pt idx="841">
                  <c:v>4723.1499999999996</c:v>
                </c:pt>
                <c:pt idx="842">
                  <c:v>4900.8</c:v>
                </c:pt>
                <c:pt idx="843">
                  <c:v>4911.45</c:v>
                </c:pt>
                <c:pt idx="844">
                  <c:v>4855.95</c:v>
                </c:pt>
                <c:pt idx="845">
                  <c:v>4926.25</c:v>
                </c:pt>
                <c:pt idx="846">
                  <c:v>4902.5</c:v>
                </c:pt>
                <c:pt idx="847">
                  <c:v>5030.7</c:v>
                </c:pt>
                <c:pt idx="848">
                  <c:v>5012.55</c:v>
                </c:pt>
                <c:pt idx="849">
                  <c:v>5093.8999999999996</c:v>
                </c:pt>
                <c:pt idx="850">
                  <c:v>5036.8500000000004</c:v>
                </c:pt>
                <c:pt idx="851">
                  <c:v>5066</c:v>
                </c:pt>
                <c:pt idx="852">
                  <c:v>5096.6000000000004</c:v>
                </c:pt>
                <c:pt idx="853">
                  <c:v>5120.8999999999996</c:v>
                </c:pt>
                <c:pt idx="854">
                  <c:v>5137.8</c:v>
                </c:pt>
                <c:pt idx="855">
                  <c:v>5173.5</c:v>
                </c:pt>
                <c:pt idx="856">
                  <c:v>5426.45</c:v>
                </c:pt>
                <c:pt idx="857">
                  <c:v>5439.3</c:v>
                </c:pt>
                <c:pt idx="858">
                  <c:v>5482.8</c:v>
                </c:pt>
                <c:pt idx="859">
                  <c:v>5498.65</c:v>
                </c:pt>
                <c:pt idx="860">
                  <c:v>5479.35</c:v>
                </c:pt>
                <c:pt idx="861">
                  <c:v>5452.2</c:v>
                </c:pt>
                <c:pt idx="862">
                  <c:v>5469.15</c:v>
                </c:pt>
                <c:pt idx="863">
                  <c:v>5429.2</c:v>
                </c:pt>
                <c:pt idx="864">
                  <c:v>5450.75</c:v>
                </c:pt>
                <c:pt idx="865">
                  <c:v>5372.85</c:v>
                </c:pt>
                <c:pt idx="866">
                  <c:v>5375.8</c:v>
                </c:pt>
                <c:pt idx="867">
                  <c:v>5394.3</c:v>
                </c:pt>
                <c:pt idx="868">
                  <c:v>5379.3</c:v>
                </c:pt>
                <c:pt idx="869">
                  <c:v>5457.9</c:v>
                </c:pt>
                <c:pt idx="870">
                  <c:v>5443.35</c:v>
                </c:pt>
                <c:pt idx="871">
                  <c:v>5423.8</c:v>
                </c:pt>
                <c:pt idx="872">
                  <c:v>5430.3</c:v>
                </c:pt>
                <c:pt idx="873">
                  <c:v>5425.55</c:v>
                </c:pt>
                <c:pt idx="874">
                  <c:v>5404.35</c:v>
                </c:pt>
                <c:pt idx="875">
                  <c:v>5547.05</c:v>
                </c:pt>
                <c:pt idx="876">
                  <c:v>5989.75</c:v>
                </c:pt>
                <c:pt idx="877">
                  <c:v>5942.15</c:v>
                </c:pt>
                <c:pt idx="878">
                  <c:v>6142.25</c:v>
                </c:pt>
                <c:pt idx="879">
                  <c:v>6214.85</c:v>
                </c:pt>
                <c:pt idx="880">
                  <c:v>6106.7</c:v>
                </c:pt>
                <c:pt idx="881">
                  <c:v>6123.65</c:v>
                </c:pt>
                <c:pt idx="882">
                  <c:v>6077.4</c:v>
                </c:pt>
                <c:pt idx="883">
                  <c:v>6022.25</c:v>
                </c:pt>
                <c:pt idx="884">
                  <c:v>5925</c:v>
                </c:pt>
                <c:pt idx="885">
                  <c:v>5817.95</c:v>
                </c:pt>
                <c:pt idx="886">
                  <c:v>5727.6</c:v>
                </c:pt>
                <c:pt idx="887">
                  <c:v>5736.65</c:v>
                </c:pt>
                <c:pt idx="888">
                  <c:v>5780.75</c:v>
                </c:pt>
                <c:pt idx="889">
                  <c:v>5814.4</c:v>
                </c:pt>
                <c:pt idx="890">
                  <c:v>5803.35</c:v>
                </c:pt>
                <c:pt idx="891">
                  <c:v>5886.6</c:v>
                </c:pt>
                <c:pt idx="892">
                  <c:v>5889.65</c:v>
                </c:pt>
                <c:pt idx="893">
                  <c:v>5903.55</c:v>
                </c:pt>
                <c:pt idx="894">
                  <c:v>5901.75</c:v>
                </c:pt>
                <c:pt idx="895">
                  <c:v>5811.25</c:v>
                </c:pt>
                <c:pt idx="896">
                  <c:v>5954.15</c:v>
                </c:pt>
                <c:pt idx="897">
                  <c:v>5959.95</c:v>
                </c:pt>
                <c:pt idx="898">
                  <c:v>5949.85</c:v>
                </c:pt>
                <c:pt idx="899">
                  <c:v>5899.95</c:v>
                </c:pt>
                <c:pt idx="900">
                  <c:v>5810.7</c:v>
                </c:pt>
                <c:pt idx="901">
                  <c:v>5770.1</c:v>
                </c:pt>
                <c:pt idx="902">
                  <c:v>5750.1</c:v>
                </c:pt>
                <c:pt idx="903">
                  <c:v>5766.65</c:v>
                </c:pt>
                <c:pt idx="904">
                  <c:v>5900.85</c:v>
                </c:pt>
                <c:pt idx="905">
                  <c:v>5977.1</c:v>
                </c:pt>
                <c:pt idx="906">
                  <c:v>5998.35</c:v>
                </c:pt>
                <c:pt idx="907">
                  <c:v>6138.45</c:v>
                </c:pt>
                <c:pt idx="908">
                  <c:v>6072.5</c:v>
                </c:pt>
                <c:pt idx="909">
                  <c:v>5999.2</c:v>
                </c:pt>
                <c:pt idx="910">
                  <c:v>5951.8</c:v>
                </c:pt>
                <c:pt idx="911">
                  <c:v>6172.7</c:v>
                </c:pt>
                <c:pt idx="912">
                  <c:v>6255.35</c:v>
                </c:pt>
                <c:pt idx="913">
                  <c:v>6210.55</c:v>
                </c:pt>
                <c:pt idx="914">
                  <c:v>6256.5</c:v>
                </c:pt>
                <c:pt idx="915">
                  <c:v>6096.2</c:v>
                </c:pt>
                <c:pt idx="916">
                  <c:v>6130.75</c:v>
                </c:pt>
                <c:pt idx="917">
                  <c:v>5959.65</c:v>
                </c:pt>
                <c:pt idx="918">
                  <c:v>5932.6</c:v>
                </c:pt>
                <c:pt idx="919">
                  <c:v>5927.95</c:v>
                </c:pt>
                <c:pt idx="920">
                  <c:v>5951.7</c:v>
                </c:pt>
                <c:pt idx="921">
                  <c:v>5876.7</c:v>
                </c:pt>
                <c:pt idx="922">
                  <c:v>5856.45</c:v>
                </c:pt>
                <c:pt idx="923">
                  <c:v>5847.4</c:v>
                </c:pt>
                <c:pt idx="924">
                  <c:v>5849.75</c:v>
                </c:pt>
                <c:pt idx="925">
                  <c:v>5820.75</c:v>
                </c:pt>
                <c:pt idx="926">
                  <c:v>5846.75</c:v>
                </c:pt>
                <c:pt idx="927">
                  <c:v>5849.45</c:v>
                </c:pt>
                <c:pt idx="928">
                  <c:v>5782.35</c:v>
                </c:pt>
                <c:pt idx="929">
                  <c:v>5886.75</c:v>
                </c:pt>
                <c:pt idx="930">
                  <c:v>5881.05</c:v>
                </c:pt>
                <c:pt idx="931">
                  <c:v>6045</c:v>
                </c:pt>
                <c:pt idx="932">
                  <c:v>6098.8</c:v>
                </c:pt>
                <c:pt idx="933">
                  <c:v>6073</c:v>
                </c:pt>
                <c:pt idx="934">
                  <c:v>6144.75</c:v>
                </c:pt>
                <c:pt idx="935">
                  <c:v>6048.3</c:v>
                </c:pt>
                <c:pt idx="936">
                  <c:v>5891.65</c:v>
                </c:pt>
                <c:pt idx="937">
                  <c:v>5907.95</c:v>
                </c:pt>
                <c:pt idx="938">
                  <c:v>5868.4</c:v>
                </c:pt>
                <c:pt idx="939">
                  <c:v>5824.55</c:v>
                </c:pt>
                <c:pt idx="940">
                  <c:v>5771.35</c:v>
                </c:pt>
                <c:pt idx="941">
                  <c:v>5732.5</c:v>
                </c:pt>
                <c:pt idx="942">
                  <c:v>5990.3</c:v>
                </c:pt>
                <c:pt idx="943">
                  <c:v>5876.85</c:v>
                </c:pt>
                <c:pt idx="944">
                  <c:v>5916.05</c:v>
                </c:pt>
                <c:pt idx="945">
                  <c:v>5916.05</c:v>
                </c:pt>
                <c:pt idx="946">
                  <c:v>6000.6</c:v>
                </c:pt>
                <c:pt idx="947">
                  <c:v>5818.9</c:v>
                </c:pt>
                <c:pt idx="948">
                  <c:v>5812.5</c:v>
                </c:pt>
                <c:pt idx="949">
                  <c:v>5850.95</c:v>
                </c:pt>
                <c:pt idx="950">
                  <c:v>5762.6</c:v>
                </c:pt>
                <c:pt idx="951">
                  <c:v>5576.75</c:v>
                </c:pt>
                <c:pt idx="952">
                  <c:v>5410.2</c:v>
                </c:pt>
                <c:pt idx="953">
                  <c:v>5620.15</c:v>
                </c:pt>
                <c:pt idx="954">
                  <c:v>5735.9</c:v>
                </c:pt>
                <c:pt idx="955">
                  <c:v>5577.7</c:v>
                </c:pt>
                <c:pt idx="956">
                  <c:v>5618.55</c:v>
                </c:pt>
                <c:pt idx="957">
                  <c:v>5884.1</c:v>
                </c:pt>
                <c:pt idx="958">
                  <c:v>6096.25</c:v>
                </c:pt>
                <c:pt idx="959">
                  <c:v>6123.5</c:v>
                </c:pt>
                <c:pt idx="960">
                  <c:v>6119.7</c:v>
                </c:pt>
                <c:pt idx="961">
                  <c:v>6140.55</c:v>
                </c:pt>
                <c:pt idx="962">
                  <c:v>5938.8</c:v>
                </c:pt>
                <c:pt idx="963">
                  <c:v>5946.75</c:v>
                </c:pt>
                <c:pt idx="964">
                  <c:v>5969.85</c:v>
                </c:pt>
                <c:pt idx="965">
                  <c:v>6010.5</c:v>
                </c:pt>
                <c:pt idx="966">
                  <c:v>5843.75</c:v>
                </c:pt>
                <c:pt idx="967">
                  <c:v>5923.75</c:v>
                </c:pt>
                <c:pt idx="968">
                  <c:v>5839.7</c:v>
                </c:pt>
                <c:pt idx="969">
                  <c:v>5934.9</c:v>
                </c:pt>
                <c:pt idx="970">
                  <c:v>5978.3</c:v>
                </c:pt>
                <c:pt idx="971">
                  <c:v>5757.05</c:v>
                </c:pt>
                <c:pt idx="972">
                  <c:v>5702.55</c:v>
                </c:pt>
                <c:pt idx="973">
                  <c:v>5726.4</c:v>
                </c:pt>
                <c:pt idx="974">
                  <c:v>5615.8</c:v>
                </c:pt>
                <c:pt idx="975">
                  <c:v>5480.25</c:v>
                </c:pt>
                <c:pt idx="976">
                  <c:v>5540.25</c:v>
                </c:pt>
                <c:pt idx="977">
                  <c:v>5517.7</c:v>
                </c:pt>
                <c:pt idx="978">
                  <c:v>5516.55</c:v>
                </c:pt>
                <c:pt idx="979">
                  <c:v>5568.7</c:v>
                </c:pt>
                <c:pt idx="980">
                  <c:v>5578.75</c:v>
                </c:pt>
                <c:pt idx="981">
                  <c:v>5514.25</c:v>
                </c:pt>
                <c:pt idx="982">
                  <c:v>5546.25</c:v>
                </c:pt>
                <c:pt idx="983">
                  <c:v>5667.15</c:v>
                </c:pt>
                <c:pt idx="984">
                  <c:v>5620.45</c:v>
                </c:pt>
                <c:pt idx="985">
                  <c:v>5670.85</c:v>
                </c:pt>
                <c:pt idx="986">
                  <c:v>5772.95</c:v>
                </c:pt>
                <c:pt idx="987">
                  <c:v>5818.1</c:v>
                </c:pt>
                <c:pt idx="988">
                  <c:v>5822.1</c:v>
                </c:pt>
                <c:pt idx="989">
                  <c:v>5797.35</c:v>
                </c:pt>
                <c:pt idx="990">
                  <c:v>5910.7</c:v>
                </c:pt>
                <c:pt idx="991">
                  <c:v>5840.65</c:v>
                </c:pt>
                <c:pt idx="992">
                  <c:v>5839.2</c:v>
                </c:pt>
                <c:pt idx="993">
                  <c:v>5872.65</c:v>
                </c:pt>
                <c:pt idx="994">
                  <c:v>5775.45</c:v>
                </c:pt>
                <c:pt idx="995">
                  <c:v>5549.7</c:v>
                </c:pt>
                <c:pt idx="996">
                  <c:v>5666</c:v>
                </c:pt>
                <c:pt idx="997">
                  <c:v>5763</c:v>
                </c:pt>
                <c:pt idx="998">
                  <c:v>5482.85</c:v>
                </c:pt>
                <c:pt idx="999">
                  <c:v>5258.95</c:v>
                </c:pt>
                <c:pt idx="1000">
                  <c:v>5387.3</c:v>
                </c:pt>
                <c:pt idx="1001">
                  <c:v>5386.15</c:v>
                </c:pt>
                <c:pt idx="1002">
                  <c:v>5589.3</c:v>
                </c:pt>
                <c:pt idx="1003">
                  <c:v>5734.5</c:v>
                </c:pt>
                <c:pt idx="1004">
                  <c:v>5754</c:v>
                </c:pt>
                <c:pt idx="1005">
                  <c:v>5640</c:v>
                </c:pt>
                <c:pt idx="1006">
                  <c:v>5891.5</c:v>
                </c:pt>
                <c:pt idx="1007">
                  <c:v>5911.5</c:v>
                </c:pt>
                <c:pt idx="1008">
                  <c:v>5924.5</c:v>
                </c:pt>
                <c:pt idx="1009">
                  <c:v>6215.5</c:v>
                </c:pt>
                <c:pt idx="1010">
                  <c:v>6012.5</c:v>
                </c:pt>
                <c:pt idx="1011">
                  <c:v>6026.5</c:v>
                </c:pt>
                <c:pt idx="1012">
                  <c:v>6108</c:v>
                </c:pt>
                <c:pt idx="1013">
                  <c:v>6087</c:v>
                </c:pt>
                <c:pt idx="1014">
                  <c:v>6104</c:v>
                </c:pt>
                <c:pt idx="1015">
                  <c:v>6124.5</c:v>
                </c:pt>
                <c:pt idx="1016">
                  <c:v>6161</c:v>
                </c:pt>
                <c:pt idx="1017">
                  <c:v>6148</c:v>
                </c:pt>
                <c:pt idx="1018">
                  <c:v>5960.5</c:v>
                </c:pt>
                <c:pt idx="1019">
                  <c:v>6025.5</c:v>
                </c:pt>
                <c:pt idx="1020">
                  <c:v>5942</c:v>
                </c:pt>
                <c:pt idx="1021">
                  <c:v>6076.5</c:v>
                </c:pt>
                <c:pt idx="1022">
                  <c:v>6215.5</c:v>
                </c:pt>
                <c:pt idx="1023">
                  <c:v>6214.5</c:v>
                </c:pt>
                <c:pt idx="1024">
                  <c:v>6279.5</c:v>
                </c:pt>
                <c:pt idx="1025">
                  <c:v>6580</c:v>
                </c:pt>
                <c:pt idx="1026">
                  <c:v>6452.5</c:v>
                </c:pt>
                <c:pt idx="1027">
                  <c:v>6552</c:v>
                </c:pt>
                <c:pt idx="1028">
                  <c:v>6538</c:v>
                </c:pt>
                <c:pt idx="1029">
                  <c:v>6483</c:v>
                </c:pt>
                <c:pt idx="1030">
                  <c:v>6737</c:v>
                </c:pt>
                <c:pt idx="1031">
                  <c:v>6698</c:v>
                </c:pt>
                <c:pt idx="1032">
                  <c:v>6636</c:v>
                </c:pt>
                <c:pt idx="1033">
                  <c:v>6631.5</c:v>
                </c:pt>
                <c:pt idx="1034">
                  <c:v>6612</c:v>
                </c:pt>
                <c:pt idx="1035">
                  <c:v>6539</c:v>
                </c:pt>
                <c:pt idx="1036">
                  <c:v>6530</c:v>
                </c:pt>
                <c:pt idx="1037">
                  <c:v>6618</c:v>
                </c:pt>
                <c:pt idx="1038">
                  <c:v>6628.5</c:v>
                </c:pt>
                <c:pt idx="1039">
                  <c:v>6544.5</c:v>
                </c:pt>
                <c:pt idx="1040">
                  <c:v>6633</c:v>
                </c:pt>
                <c:pt idx="1041">
                  <c:v>6674</c:v>
                </c:pt>
                <c:pt idx="1042">
                  <c:v>6719</c:v>
                </c:pt>
                <c:pt idx="1043">
                  <c:v>6725</c:v>
                </c:pt>
                <c:pt idx="1044">
                  <c:v>6667</c:v>
                </c:pt>
                <c:pt idx="1045">
                  <c:v>6687.5</c:v>
                </c:pt>
                <c:pt idx="1046">
                  <c:v>6538</c:v>
                </c:pt>
                <c:pt idx="1047">
                  <c:v>6549</c:v>
                </c:pt>
                <c:pt idx="1048">
                  <c:v>6493</c:v>
                </c:pt>
                <c:pt idx="1049">
                  <c:v>6592</c:v>
                </c:pt>
                <c:pt idx="1050">
                  <c:v>6636</c:v>
                </c:pt>
                <c:pt idx="1051">
                  <c:v>6565.5</c:v>
                </c:pt>
                <c:pt idx="1052">
                  <c:v>6586.5</c:v>
                </c:pt>
                <c:pt idx="1053">
                  <c:v>6616</c:v>
                </c:pt>
                <c:pt idx="1054">
                  <c:v>6658</c:v>
                </c:pt>
                <c:pt idx="1055">
                  <c:v>6809.5</c:v>
                </c:pt>
                <c:pt idx="1056">
                  <c:v>6856.5</c:v>
                </c:pt>
                <c:pt idx="1057">
                  <c:v>6859.5</c:v>
                </c:pt>
                <c:pt idx="1058">
                  <c:v>6876</c:v>
                </c:pt>
                <c:pt idx="1059">
                  <c:v>6906.5</c:v>
                </c:pt>
                <c:pt idx="1060">
                  <c:v>6888.5</c:v>
                </c:pt>
                <c:pt idx="1061">
                  <c:v>6938</c:v>
                </c:pt>
                <c:pt idx="1062">
                  <c:v>6983.5</c:v>
                </c:pt>
                <c:pt idx="1063">
                  <c:v>6844.5</c:v>
                </c:pt>
                <c:pt idx="1064">
                  <c:v>6835</c:v>
                </c:pt>
                <c:pt idx="1065">
                  <c:v>6778.5</c:v>
                </c:pt>
                <c:pt idx="1066">
                  <c:v>6790</c:v>
                </c:pt>
                <c:pt idx="1067">
                  <c:v>6831</c:v>
                </c:pt>
                <c:pt idx="1068">
                  <c:v>6790.5</c:v>
                </c:pt>
                <c:pt idx="1069">
                  <c:v>6731.5</c:v>
                </c:pt>
                <c:pt idx="1070">
                  <c:v>6688</c:v>
                </c:pt>
                <c:pt idx="1071">
                  <c:v>6613</c:v>
                </c:pt>
                <c:pt idx="1072">
                  <c:v>6653</c:v>
                </c:pt>
                <c:pt idx="1073">
                  <c:v>6618.5</c:v>
                </c:pt>
                <c:pt idx="1074">
                  <c:v>6616.5</c:v>
                </c:pt>
                <c:pt idx="1075">
                  <c:v>6584</c:v>
                </c:pt>
                <c:pt idx="1076">
                  <c:v>6676.5</c:v>
                </c:pt>
                <c:pt idx="1077">
                  <c:v>6650</c:v>
                </c:pt>
                <c:pt idx="1078">
                  <c:v>6595.5</c:v>
                </c:pt>
                <c:pt idx="1079">
                  <c:v>6361.5</c:v>
                </c:pt>
                <c:pt idx="1080">
                  <c:v>6489.5</c:v>
                </c:pt>
                <c:pt idx="1081">
                  <c:v>6409</c:v>
                </c:pt>
                <c:pt idx="1082">
                  <c:v>6133.5</c:v>
                </c:pt>
                <c:pt idx="1083">
                  <c:v>6131.5</c:v>
                </c:pt>
                <c:pt idx="1084">
                  <c:v>5914.5</c:v>
                </c:pt>
                <c:pt idx="1085">
                  <c:v>5992</c:v>
                </c:pt>
                <c:pt idx="1086">
                  <c:v>5961</c:v>
                </c:pt>
                <c:pt idx="1087">
                  <c:v>6100.5</c:v>
                </c:pt>
                <c:pt idx="1088">
                  <c:v>6132.5</c:v>
                </c:pt>
                <c:pt idx="1089">
                  <c:v>6164.5</c:v>
                </c:pt>
                <c:pt idx="1090">
                  <c:v>6079.5</c:v>
                </c:pt>
                <c:pt idx="1091">
                  <c:v>6005</c:v>
                </c:pt>
                <c:pt idx="1092">
                  <c:v>6028</c:v>
                </c:pt>
                <c:pt idx="1093">
                  <c:v>6151.5</c:v>
                </c:pt>
                <c:pt idx="1094">
                  <c:v>6248.5</c:v>
                </c:pt>
                <c:pt idx="1095">
                  <c:v>6190.5</c:v>
                </c:pt>
                <c:pt idx="1096">
                  <c:v>6132</c:v>
                </c:pt>
                <c:pt idx="1097">
                  <c:v>6131.5</c:v>
                </c:pt>
                <c:pt idx="1098">
                  <c:v>6093</c:v>
                </c:pt>
                <c:pt idx="1099">
                  <c:v>6120.5</c:v>
                </c:pt>
                <c:pt idx="1100">
                  <c:v>6164</c:v>
                </c:pt>
                <c:pt idx="1101">
                  <c:v>6133.5</c:v>
                </c:pt>
                <c:pt idx="1102">
                  <c:v>6009</c:v>
                </c:pt>
                <c:pt idx="1103">
                  <c:v>6027.5</c:v>
                </c:pt>
                <c:pt idx="1104">
                  <c:v>6002.5</c:v>
                </c:pt>
                <c:pt idx="1105">
                  <c:v>6031.5</c:v>
                </c:pt>
                <c:pt idx="1106">
                  <c:v>6015.5</c:v>
                </c:pt>
                <c:pt idx="1107">
                  <c:v>6026.5</c:v>
                </c:pt>
                <c:pt idx="1108">
                  <c:v>6057</c:v>
                </c:pt>
                <c:pt idx="1109">
                  <c:v>6099.5</c:v>
                </c:pt>
                <c:pt idx="1110">
                  <c:v>6051.5</c:v>
                </c:pt>
                <c:pt idx="1111">
                  <c:v>6112</c:v>
                </c:pt>
                <c:pt idx="1112">
                  <c:v>6200</c:v>
                </c:pt>
                <c:pt idx="1113">
                  <c:v>6092.5</c:v>
                </c:pt>
                <c:pt idx="1114">
                  <c:v>6051</c:v>
                </c:pt>
                <c:pt idx="1115">
                  <c:v>5984</c:v>
                </c:pt>
                <c:pt idx="1116">
                  <c:v>5897</c:v>
                </c:pt>
                <c:pt idx="1117">
                  <c:v>5689.5</c:v>
                </c:pt>
                <c:pt idx="1118">
                  <c:v>5697.5</c:v>
                </c:pt>
                <c:pt idx="1119">
                  <c:v>5689.5</c:v>
                </c:pt>
                <c:pt idx="1120">
                  <c:v>5710</c:v>
                </c:pt>
                <c:pt idx="1121">
                  <c:v>5866</c:v>
                </c:pt>
                <c:pt idx="1122">
                  <c:v>5826.5</c:v>
                </c:pt>
                <c:pt idx="1123">
                  <c:v>6104.5</c:v>
                </c:pt>
                <c:pt idx="1124">
                  <c:v>6120.5</c:v>
                </c:pt>
                <c:pt idx="1125">
                  <c:v>6132</c:v>
                </c:pt>
                <c:pt idx="1126">
                  <c:v>6474.5</c:v>
                </c:pt>
                <c:pt idx="1127">
                  <c:v>6556</c:v>
                </c:pt>
                <c:pt idx="1128">
                  <c:v>6561</c:v>
                </c:pt>
                <c:pt idx="1129">
                  <c:v>6573</c:v>
                </c:pt>
                <c:pt idx="1130">
                  <c:v>6600.5</c:v>
                </c:pt>
                <c:pt idx="1131">
                  <c:v>6621.5</c:v>
                </c:pt>
                <c:pt idx="1132">
                  <c:v>6604</c:v>
                </c:pt>
                <c:pt idx="1133">
                  <c:v>6587</c:v>
                </c:pt>
                <c:pt idx="1134">
                  <c:v>6565.5</c:v>
                </c:pt>
                <c:pt idx="1135">
                  <c:v>6593</c:v>
                </c:pt>
                <c:pt idx="1136">
                  <c:v>6490</c:v>
                </c:pt>
                <c:pt idx="1137">
                  <c:v>6438.5</c:v>
                </c:pt>
                <c:pt idx="1138">
                  <c:v>6512</c:v>
                </c:pt>
                <c:pt idx="1139">
                  <c:v>6655</c:v>
                </c:pt>
                <c:pt idx="1140">
                  <c:v>6738</c:v>
                </c:pt>
                <c:pt idx="1141">
                  <c:v>6804</c:v>
                </c:pt>
                <c:pt idx="1142">
                  <c:v>6804.5</c:v>
                </c:pt>
                <c:pt idx="1143">
                  <c:v>6883.5</c:v>
                </c:pt>
                <c:pt idx="1144">
                  <c:v>6656.5</c:v>
                </c:pt>
                <c:pt idx="1145">
                  <c:v>6691.5</c:v>
                </c:pt>
                <c:pt idx="1146">
                  <c:v>6539.5</c:v>
                </c:pt>
                <c:pt idx="1147">
                  <c:v>6520</c:v>
                </c:pt>
                <c:pt idx="1148">
                  <c:v>6593.5</c:v>
                </c:pt>
                <c:pt idx="1149">
                  <c:v>6511.5</c:v>
                </c:pt>
                <c:pt idx="1150">
                  <c:v>6518.5</c:v>
                </c:pt>
                <c:pt idx="1151">
                  <c:v>6473.5</c:v>
                </c:pt>
                <c:pt idx="1152">
                  <c:v>6454</c:v>
                </c:pt>
                <c:pt idx="1153">
                  <c:v>6462.5</c:v>
                </c:pt>
                <c:pt idx="1154">
                  <c:v>6373</c:v>
                </c:pt>
                <c:pt idx="1155">
                  <c:v>6359</c:v>
                </c:pt>
                <c:pt idx="1156">
                  <c:v>6412</c:v>
                </c:pt>
                <c:pt idx="1157">
                  <c:v>6510</c:v>
                </c:pt>
                <c:pt idx="1158">
                  <c:v>6490.5</c:v>
                </c:pt>
                <c:pt idx="1159">
                  <c:v>6477</c:v>
                </c:pt>
                <c:pt idx="1160">
                  <c:v>6422.5</c:v>
                </c:pt>
                <c:pt idx="1161">
                  <c:v>6417.5</c:v>
                </c:pt>
                <c:pt idx="1162">
                  <c:v>6455</c:v>
                </c:pt>
                <c:pt idx="1163">
                  <c:v>6469</c:v>
                </c:pt>
                <c:pt idx="1164">
                  <c:v>6473.5</c:v>
                </c:pt>
                <c:pt idx="1165">
                  <c:v>6328.5</c:v>
                </c:pt>
                <c:pt idx="1166">
                  <c:v>6294</c:v>
                </c:pt>
                <c:pt idx="1167">
                  <c:v>6294.5</c:v>
                </c:pt>
                <c:pt idx="1168">
                  <c:v>6430</c:v>
                </c:pt>
                <c:pt idx="1169">
                  <c:v>6426.5</c:v>
                </c:pt>
                <c:pt idx="1170">
                  <c:v>6347.5</c:v>
                </c:pt>
                <c:pt idx="1171">
                  <c:v>6335.5</c:v>
                </c:pt>
                <c:pt idx="1172">
                  <c:v>6293</c:v>
                </c:pt>
                <c:pt idx="1173">
                  <c:v>6380</c:v>
                </c:pt>
                <c:pt idx="1174">
                  <c:v>6478.5</c:v>
                </c:pt>
                <c:pt idx="1175">
                  <c:v>6511.5</c:v>
                </c:pt>
                <c:pt idx="1176">
                  <c:v>6476.5</c:v>
                </c:pt>
                <c:pt idx="1177">
                  <c:v>6496.5</c:v>
                </c:pt>
                <c:pt idx="1178">
                  <c:v>6427.5</c:v>
                </c:pt>
                <c:pt idx="1179">
                  <c:v>6390.5</c:v>
                </c:pt>
                <c:pt idx="1180">
                  <c:v>6360.5</c:v>
                </c:pt>
                <c:pt idx="1181">
                  <c:v>6392.5</c:v>
                </c:pt>
                <c:pt idx="1182">
                  <c:v>6344</c:v>
                </c:pt>
                <c:pt idx="1183">
                  <c:v>6392.5</c:v>
                </c:pt>
                <c:pt idx="1184">
                  <c:v>6363.5</c:v>
                </c:pt>
                <c:pt idx="1185">
                  <c:v>6642.5</c:v>
                </c:pt>
                <c:pt idx="1186">
                  <c:v>6642.5</c:v>
                </c:pt>
                <c:pt idx="1187">
                  <c:v>6600.5</c:v>
                </c:pt>
                <c:pt idx="1188">
                  <c:v>6616.5</c:v>
                </c:pt>
                <c:pt idx="1189">
                  <c:v>6485.5</c:v>
                </c:pt>
                <c:pt idx="1190">
                  <c:v>6436.5</c:v>
                </c:pt>
                <c:pt idx="1191">
                  <c:v>6355.5</c:v>
                </c:pt>
                <c:pt idx="1192">
                  <c:v>6236</c:v>
                </c:pt>
                <c:pt idx="1193">
                  <c:v>6140</c:v>
                </c:pt>
                <c:pt idx="1194">
                  <c:v>6013</c:v>
                </c:pt>
                <c:pt idx="1195">
                  <c:v>6010</c:v>
                </c:pt>
                <c:pt idx="1196">
                  <c:v>6071</c:v>
                </c:pt>
                <c:pt idx="1197">
                  <c:v>6011.5</c:v>
                </c:pt>
                <c:pt idx="1198">
                  <c:v>6056</c:v>
                </c:pt>
                <c:pt idx="1199">
                  <c:v>6188</c:v>
                </c:pt>
                <c:pt idx="1200">
                  <c:v>6041</c:v>
                </c:pt>
                <c:pt idx="1201">
                  <c:v>6051</c:v>
                </c:pt>
                <c:pt idx="1202">
                  <c:v>6056</c:v>
                </c:pt>
                <c:pt idx="1203">
                  <c:v>5952.5</c:v>
                </c:pt>
                <c:pt idx="1204">
                  <c:v>6209</c:v>
                </c:pt>
                <c:pt idx="1205">
                  <c:v>6054.5</c:v>
                </c:pt>
                <c:pt idx="1206">
                  <c:v>6141.5</c:v>
                </c:pt>
                <c:pt idx="1207">
                  <c:v>6024.5</c:v>
                </c:pt>
                <c:pt idx="1208">
                  <c:v>6113.5</c:v>
                </c:pt>
                <c:pt idx="1209">
                  <c:v>6175.5</c:v>
                </c:pt>
                <c:pt idx="1210">
                  <c:v>6386.5</c:v>
                </c:pt>
                <c:pt idx="1211">
                  <c:v>6185</c:v>
                </c:pt>
                <c:pt idx="1212">
                  <c:v>6168.5</c:v>
                </c:pt>
                <c:pt idx="1213">
                  <c:v>6149.5</c:v>
                </c:pt>
                <c:pt idx="1214">
                  <c:v>6187.5</c:v>
                </c:pt>
                <c:pt idx="1215">
                  <c:v>6283.5</c:v>
                </c:pt>
                <c:pt idx="1216">
                  <c:v>6297.5</c:v>
                </c:pt>
                <c:pt idx="1217">
                  <c:v>6291</c:v>
                </c:pt>
                <c:pt idx="1218">
                  <c:v>6293.5</c:v>
                </c:pt>
                <c:pt idx="1219">
                  <c:v>6255.5</c:v>
                </c:pt>
                <c:pt idx="1220">
                  <c:v>6395.5</c:v>
                </c:pt>
                <c:pt idx="1221">
                  <c:v>6474</c:v>
                </c:pt>
                <c:pt idx="1222">
                  <c:v>6408.5</c:v>
                </c:pt>
                <c:pt idx="1223">
                  <c:v>6403.5</c:v>
                </c:pt>
                <c:pt idx="1224">
                  <c:v>6316</c:v>
                </c:pt>
                <c:pt idx="1225">
                  <c:v>6364.5</c:v>
                </c:pt>
                <c:pt idx="1226">
                  <c:v>6329</c:v>
                </c:pt>
                <c:pt idx="1227">
                  <c:v>6330</c:v>
                </c:pt>
                <c:pt idx="1228">
                  <c:v>6372</c:v>
                </c:pt>
                <c:pt idx="1229">
                  <c:v>6352.5</c:v>
                </c:pt>
                <c:pt idx="1230">
                  <c:v>6282</c:v>
                </c:pt>
                <c:pt idx="1231">
                  <c:v>6071</c:v>
                </c:pt>
                <c:pt idx="1232">
                  <c:v>6071</c:v>
                </c:pt>
                <c:pt idx="1233">
                  <c:v>6086.5</c:v>
                </c:pt>
                <c:pt idx="1234">
                  <c:v>6140</c:v>
                </c:pt>
                <c:pt idx="1235">
                  <c:v>5972.5</c:v>
                </c:pt>
                <c:pt idx="1236">
                  <c:v>6100</c:v>
                </c:pt>
                <c:pt idx="1237">
                  <c:v>6013.5</c:v>
                </c:pt>
              </c:numCache>
            </c:numRef>
          </c:val>
          <c:smooth val="0"/>
          <c:extLst>
            <c:ext xmlns:c16="http://schemas.microsoft.com/office/drawing/2014/chart" uri="{C3380CC4-5D6E-409C-BE32-E72D297353CC}">
              <c16:uniqueId val="{00000002-29E5-40DB-AFD1-87DF42E6E55F}"/>
            </c:ext>
          </c:extLst>
        </c:ser>
        <c:dLbls>
          <c:showLegendKey val="0"/>
          <c:showVal val="0"/>
          <c:showCatName val="0"/>
          <c:showSerName val="0"/>
          <c:showPercent val="0"/>
          <c:showBubbleSize val="0"/>
        </c:dLbls>
        <c:smooth val="0"/>
        <c:axId val="1742632031"/>
        <c:axId val="1742654079"/>
      </c:lineChart>
      <c:dateAx>
        <c:axId val="1742632031"/>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654079"/>
        <c:crosses val="autoZero"/>
        <c:auto val="1"/>
        <c:lblOffset val="100"/>
        <c:baseTimeUnit val="days"/>
      </c:dateAx>
      <c:valAx>
        <c:axId val="17426540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63203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Peer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manualLayout>
          <c:layoutTarget val="inner"/>
          <c:xMode val="edge"/>
          <c:yMode val="edge"/>
          <c:x val="8.5269957177891764E-2"/>
          <c:y val="0.13467592592592595"/>
          <c:w val="0.89106140376885379"/>
          <c:h val="0.65202136191309423"/>
        </c:manualLayout>
      </c:layout>
      <c:barChart>
        <c:barDir val="col"/>
        <c:grouping val="clustered"/>
        <c:varyColors val="0"/>
        <c:ser>
          <c:idx val="0"/>
          <c:order val="0"/>
          <c:tx>
            <c:strRef>
              <c:f>'Relative Valuation'!$A$6</c:f>
              <c:strCache>
                <c:ptCount val="1"/>
                <c:pt idx="0">
                  <c:v>SUN PHARMA</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invertIfNegative val="0"/>
          <c:cat>
            <c:strRef>
              <c:f>'Relative Valuation'!$J$5:$M$5</c:f>
              <c:strCache>
                <c:ptCount val="4"/>
                <c:pt idx="0">
                  <c:v>P/E </c:v>
                </c:pt>
                <c:pt idx="1">
                  <c:v>EV/Sales</c:v>
                </c:pt>
                <c:pt idx="2">
                  <c:v>EV/EBITDA</c:v>
                </c:pt>
                <c:pt idx="3">
                  <c:v>EV/EBIT</c:v>
                </c:pt>
              </c:strCache>
            </c:strRef>
          </c:cat>
          <c:val>
            <c:numRef>
              <c:f>'Relative Valuation'!$J$6:$M$6</c:f>
              <c:numCache>
                <c:formatCode>0.00"x"</c:formatCode>
                <c:ptCount val="4"/>
                <c:pt idx="0">
                  <c:v>37.362637362637365</c:v>
                </c:pt>
                <c:pt idx="1">
                  <c:v>7.7979383011906123</c:v>
                </c:pt>
                <c:pt idx="2">
                  <c:v>26.84651650078575</c:v>
                </c:pt>
                <c:pt idx="3">
                  <c:v>34.166666666666664</c:v>
                </c:pt>
              </c:numCache>
            </c:numRef>
          </c:val>
          <c:extLst>
            <c:ext xmlns:c16="http://schemas.microsoft.com/office/drawing/2014/chart" uri="{C3380CC4-5D6E-409C-BE32-E72D297353CC}">
              <c16:uniqueId val="{00000005-04F2-4D75-9443-B88B0D866B9B}"/>
            </c:ext>
          </c:extLst>
        </c:ser>
        <c:ser>
          <c:idx val="1"/>
          <c:order val="1"/>
          <c:tx>
            <c:strRef>
              <c:f>'Relative Valuation'!$A$7</c:f>
              <c:strCache>
                <c:ptCount val="1"/>
                <c:pt idx="0">
                  <c:v>DR REDDY</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invertIfNegative val="0"/>
          <c:cat>
            <c:strRef>
              <c:f>'Relative Valuation'!$J$5:$M$5</c:f>
              <c:strCache>
                <c:ptCount val="4"/>
                <c:pt idx="0">
                  <c:v>P/E </c:v>
                </c:pt>
                <c:pt idx="1">
                  <c:v>EV/Sales</c:v>
                </c:pt>
                <c:pt idx="2">
                  <c:v>EV/EBITDA</c:v>
                </c:pt>
                <c:pt idx="3">
                  <c:v>EV/EBIT</c:v>
                </c:pt>
              </c:strCache>
            </c:strRef>
          </c:cat>
          <c:val>
            <c:numRef>
              <c:f>'Relative Valuation'!$J$7:$M$7</c:f>
              <c:numCache>
                <c:formatCode>0.00"x"</c:formatCode>
                <c:ptCount val="4"/>
                <c:pt idx="0">
                  <c:v>17.621145374449341</c:v>
                </c:pt>
                <c:pt idx="1">
                  <c:v>3.0718191312895495</c:v>
                </c:pt>
                <c:pt idx="2">
                  <c:v>10.854227721697601</c:v>
                </c:pt>
                <c:pt idx="3">
                  <c:v>15.384615384615385</c:v>
                </c:pt>
              </c:numCache>
            </c:numRef>
          </c:val>
          <c:extLst>
            <c:ext xmlns:c16="http://schemas.microsoft.com/office/drawing/2014/chart" uri="{C3380CC4-5D6E-409C-BE32-E72D297353CC}">
              <c16:uniqueId val="{00000006-04F2-4D75-9443-B88B0D866B9B}"/>
            </c:ext>
          </c:extLst>
        </c:ser>
        <c:ser>
          <c:idx val="2"/>
          <c:order val="2"/>
          <c:tx>
            <c:strRef>
              <c:f>'Relative Valuation'!$A$8</c:f>
              <c:strCache>
                <c:ptCount val="1"/>
                <c:pt idx="0">
                  <c:v>CIPLA</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invertIfNegative val="0"/>
          <c:cat>
            <c:strRef>
              <c:f>'Relative Valuation'!$J$5:$M$5</c:f>
              <c:strCache>
                <c:ptCount val="4"/>
                <c:pt idx="0">
                  <c:v>P/E </c:v>
                </c:pt>
                <c:pt idx="1">
                  <c:v>EV/Sales</c:v>
                </c:pt>
                <c:pt idx="2">
                  <c:v>EV/EBITDA</c:v>
                </c:pt>
                <c:pt idx="3">
                  <c:v>EV/EBIT</c:v>
                </c:pt>
              </c:strCache>
            </c:strRef>
          </c:cat>
          <c:val>
            <c:numRef>
              <c:f>'Relative Valuation'!$J$8:$M$8</c:f>
              <c:numCache>
                <c:formatCode>0.00"x"</c:formatCode>
                <c:ptCount val="4"/>
                <c:pt idx="0">
                  <c:v>22.171253822629968</c:v>
                </c:pt>
                <c:pt idx="1">
                  <c:v>4.1745317264411206</c:v>
                </c:pt>
                <c:pt idx="2">
                  <c:v>16.133557800224466</c:v>
                </c:pt>
                <c:pt idx="3">
                  <c:v>20.90909090909091</c:v>
                </c:pt>
              </c:numCache>
            </c:numRef>
          </c:val>
          <c:extLst>
            <c:ext xmlns:c16="http://schemas.microsoft.com/office/drawing/2014/chart" uri="{C3380CC4-5D6E-409C-BE32-E72D297353CC}">
              <c16:uniqueId val="{00000007-04F2-4D75-9443-B88B0D866B9B}"/>
            </c:ext>
          </c:extLst>
        </c:ser>
        <c:ser>
          <c:idx val="3"/>
          <c:order val="3"/>
          <c:tx>
            <c:strRef>
              <c:f>'Relative Valuation'!$A$9</c:f>
              <c:strCache>
                <c:ptCount val="1"/>
                <c:pt idx="0">
                  <c:v>Zydus LIFE</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invertIfNegative val="0"/>
          <c:cat>
            <c:strRef>
              <c:f>'Relative Valuation'!$J$5:$M$5</c:f>
              <c:strCache>
                <c:ptCount val="4"/>
                <c:pt idx="0">
                  <c:v>P/E </c:v>
                </c:pt>
                <c:pt idx="1">
                  <c:v>EV/Sales</c:v>
                </c:pt>
                <c:pt idx="2">
                  <c:v>EV/EBITDA</c:v>
                </c:pt>
                <c:pt idx="3">
                  <c:v>EV/EBIT</c:v>
                </c:pt>
              </c:strCache>
            </c:strRef>
          </c:cat>
          <c:val>
            <c:numRef>
              <c:f>'Relative Valuation'!$J$9:$M$9</c:f>
              <c:numCache>
                <c:formatCode>0.00"x"</c:formatCode>
                <c:ptCount val="4"/>
                <c:pt idx="0">
                  <c:v>19.067796610169491</c:v>
                </c:pt>
                <c:pt idx="1">
                  <c:v>3.7862490319249633</c:v>
                </c:pt>
                <c:pt idx="2">
                  <c:v>12.466355007791472</c:v>
                </c:pt>
                <c:pt idx="3">
                  <c:v>16</c:v>
                </c:pt>
              </c:numCache>
            </c:numRef>
          </c:val>
          <c:extLst>
            <c:ext xmlns:c16="http://schemas.microsoft.com/office/drawing/2014/chart" uri="{C3380CC4-5D6E-409C-BE32-E72D297353CC}">
              <c16:uniqueId val="{00000008-04F2-4D75-9443-B88B0D866B9B}"/>
            </c:ext>
          </c:extLst>
        </c:ser>
        <c:dLbls>
          <c:showLegendKey val="0"/>
          <c:showVal val="0"/>
          <c:showCatName val="0"/>
          <c:showSerName val="0"/>
          <c:showPercent val="0"/>
          <c:showBubbleSize val="0"/>
        </c:dLbls>
        <c:gapWidth val="100"/>
        <c:overlap val="-24"/>
        <c:axId val="122243807"/>
        <c:axId val="122250879"/>
      </c:barChart>
      <c:catAx>
        <c:axId val="1222438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50879"/>
        <c:crosses val="autoZero"/>
        <c:auto val="1"/>
        <c:lblAlgn val="ctr"/>
        <c:lblOffset val="100"/>
        <c:noMultiLvlLbl val="0"/>
      </c:catAx>
      <c:valAx>
        <c:axId val="122250879"/>
        <c:scaling>
          <c:orientation val="minMax"/>
        </c:scaling>
        <c:delete val="0"/>
        <c:axPos val="l"/>
        <c:majorGridlines>
          <c:spPr>
            <a:ln w="9525" cap="flat" cmpd="sng" algn="ctr">
              <a:solidFill>
                <a:schemeClr val="tx2">
                  <a:lumMod val="15000"/>
                  <a:lumOff val="85000"/>
                </a:schemeClr>
              </a:solidFill>
              <a:round/>
            </a:ln>
            <a:effectLst/>
          </c:spPr>
        </c:majorGridlines>
        <c:numFmt formatCode="0.00&quot;x&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4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VALUATION</a:t>
            </a:r>
            <a:r>
              <a:rPr lang="en-IN" b="1" baseline="0"/>
              <a:t> RATIO</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7234033245844273E-2"/>
          <c:y val="0.13004629629629633"/>
          <c:w val="0.87221041119860021"/>
          <c:h val="0.65665099154272388"/>
        </c:manualLayout>
      </c:layout>
      <c:areaChart>
        <c:grouping val="standard"/>
        <c:varyColors val="0"/>
        <c:ser>
          <c:idx val="0"/>
          <c:order val="0"/>
          <c:tx>
            <c:strRef>
              <c:f>'All Ratio Forecast'!$B$21</c:f>
              <c:strCache>
                <c:ptCount val="1"/>
                <c:pt idx="0">
                  <c:v>Price-earnings</c:v>
                </c:pt>
              </c:strCache>
            </c:strRef>
          </c:tx>
          <c:spPr>
            <a:solidFill>
              <a:schemeClr val="accent6">
                <a:shade val="6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Forecast'!$C$21:$I$21</c:f>
              <c:numCache>
                <c:formatCode>_ * #,##0.0_ ;_ * \-#,##0.0_ ;_ * "-"??_ ;_ @_ </c:formatCode>
                <c:ptCount val="7"/>
                <c:pt idx="0">
                  <c:v>1.2616968698517297</c:v>
                </c:pt>
                <c:pt idx="1">
                  <c:v>1.016558818649411</c:v>
                </c:pt>
                <c:pt idx="2">
                  <c:v>1.0970526850297495</c:v>
                </c:pt>
                <c:pt idx="3">
                  <c:v>0.98495372398664893</c:v>
                </c:pt>
                <c:pt idx="4">
                  <c:v>0.89070269728604023</c:v>
                </c:pt>
                <c:pt idx="5">
                  <c:v>0.79903385318089593</c:v>
                </c:pt>
                <c:pt idx="6">
                  <c:v>0.71510269272644145</c:v>
                </c:pt>
              </c:numCache>
            </c:numRef>
          </c:val>
          <c:extLst>
            <c:ext xmlns:c16="http://schemas.microsoft.com/office/drawing/2014/chart" uri="{C3380CC4-5D6E-409C-BE32-E72D297353CC}">
              <c16:uniqueId val="{00000000-C486-4FF0-9F33-4C31AEB72B51}"/>
            </c:ext>
          </c:extLst>
        </c:ser>
        <c:ser>
          <c:idx val="1"/>
          <c:order val="1"/>
          <c:tx>
            <c:strRef>
              <c:f>'All Ratio Forecast'!$B$22</c:f>
              <c:strCache>
                <c:ptCount val="1"/>
                <c:pt idx="0">
                  <c:v>Price-book</c:v>
                </c:pt>
              </c:strCache>
            </c:strRef>
          </c:tx>
          <c:spPr>
            <a:solidFill>
              <a:schemeClr val="accent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Forecast'!$C$22:$I$22</c:f>
              <c:numCache>
                <c:formatCode>_ * #,##0.0_ ;_ * \-#,##0.0_ ;_ * "-"??_ ;_ @_ </c:formatCode>
                <c:ptCount val="7"/>
                <c:pt idx="0">
                  <c:v>0.45437555621477305</c:v>
                </c:pt>
                <c:pt idx="1">
                  <c:v>0.411332661967103</c:v>
                </c:pt>
                <c:pt idx="2">
                  <c:v>0.29916334188069144</c:v>
                </c:pt>
                <c:pt idx="3">
                  <c:v>0.22946665494757856</c:v>
                </c:pt>
                <c:pt idx="4">
                  <c:v>0.1824604182318203</c:v>
                </c:pt>
                <c:pt idx="5">
                  <c:v>0.14854090877466153</c:v>
                </c:pt>
                <c:pt idx="6">
                  <c:v>0.12299286842416038</c:v>
                </c:pt>
              </c:numCache>
            </c:numRef>
          </c:val>
          <c:extLst>
            <c:ext xmlns:c16="http://schemas.microsoft.com/office/drawing/2014/chart" uri="{C3380CC4-5D6E-409C-BE32-E72D297353CC}">
              <c16:uniqueId val="{00000001-C486-4FF0-9F33-4C31AEB72B51}"/>
            </c:ext>
          </c:extLst>
        </c:ser>
        <c:ser>
          <c:idx val="2"/>
          <c:order val="2"/>
          <c:tx>
            <c:strRef>
              <c:f>'All Ratio Forecast'!$B$23</c:f>
              <c:strCache>
                <c:ptCount val="1"/>
                <c:pt idx="0">
                  <c:v>EV/EBITDA </c:v>
                </c:pt>
              </c:strCache>
            </c:strRef>
          </c:tx>
          <c:spPr>
            <a:solidFill>
              <a:schemeClr val="accent6">
                <a:tint val="6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Forecast'!$C$23:$I$23</c:f>
              <c:numCache>
                <c:formatCode>_ * #,##0.0_ ;_ * \-#,##0.0_ ;_ * "-"??_ ;_ @_ </c:formatCode>
                <c:ptCount val="7"/>
                <c:pt idx="0">
                  <c:v>419.74617698134637</c:v>
                </c:pt>
                <c:pt idx="1">
                  <c:v>340.02375623439974</c:v>
                </c:pt>
                <c:pt idx="2">
                  <c:v>307.24580141127257</c:v>
                </c:pt>
                <c:pt idx="3">
                  <c:v>275.97651849199275</c:v>
                </c:pt>
                <c:pt idx="4">
                  <c:v>249.57348013019131</c:v>
                </c:pt>
                <c:pt idx="5">
                  <c:v>224.12867724284553</c:v>
                </c:pt>
                <c:pt idx="6">
                  <c:v>200.72090126884146</c:v>
                </c:pt>
              </c:numCache>
            </c:numRef>
          </c:val>
          <c:extLst>
            <c:ext xmlns:c16="http://schemas.microsoft.com/office/drawing/2014/chart" uri="{C3380CC4-5D6E-409C-BE32-E72D297353CC}">
              <c16:uniqueId val="{00000002-C486-4FF0-9F33-4C31AEB72B51}"/>
            </c:ext>
          </c:extLst>
        </c:ser>
        <c:dLbls>
          <c:showLegendKey val="0"/>
          <c:showVal val="1"/>
          <c:showCatName val="0"/>
          <c:showSerName val="0"/>
          <c:showPercent val="0"/>
          <c:showBubbleSize val="0"/>
        </c:dLbls>
        <c:axId val="377206207"/>
        <c:axId val="377222015"/>
      </c:areaChart>
      <c:catAx>
        <c:axId val="3772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22015"/>
        <c:crosses val="autoZero"/>
        <c:auto val="1"/>
        <c:lblAlgn val="ctr"/>
        <c:lblOffset val="100"/>
        <c:noMultiLvlLbl val="0"/>
      </c:catAx>
      <c:valAx>
        <c:axId val="377222015"/>
        <c:scaling>
          <c:orientation val="minMax"/>
        </c:scaling>
        <c:delete val="0"/>
        <c:axPos val="l"/>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0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Operating</a:t>
            </a:r>
            <a:r>
              <a:rPr lang="en-IN" b="1" baseline="0"/>
              <a:t> Income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Ratio Forecast'!$B$13</c:f>
              <c:strCache>
                <c:ptCount val="1"/>
                <c:pt idx="0">
                  <c:v>Operating Income</c:v>
                </c:pt>
              </c:strCache>
            </c:strRef>
          </c:tx>
          <c:spPr>
            <a:solidFill>
              <a:schemeClr val="accent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Forecast'!$C$13:$I$13</c:f>
              <c:numCache>
                <c:formatCode>0.0</c:formatCode>
                <c:ptCount val="7"/>
                <c:pt idx="0">
                  <c:v>5416</c:v>
                </c:pt>
                <c:pt idx="1">
                  <c:v>6749</c:v>
                </c:pt>
                <c:pt idx="2">
                  <c:v>7466.0866349772532</c:v>
                </c:pt>
                <c:pt idx="3">
                  <c:v>8315.8683905502403</c:v>
                </c:pt>
                <c:pt idx="4">
                  <c:v>9196.1078524098975</c:v>
                </c:pt>
                <c:pt idx="5">
                  <c:v>10251.276841554914</c:v>
                </c:pt>
                <c:pt idx="6">
                  <c:v>11453.837573431347</c:v>
                </c:pt>
              </c:numCache>
            </c:numRef>
          </c:val>
          <c:extLst>
            <c:ext xmlns:c16="http://schemas.microsoft.com/office/drawing/2014/chart" uri="{C3380CC4-5D6E-409C-BE32-E72D297353CC}">
              <c16:uniqueId val="{00000000-790F-44C7-A32C-E1989E9226B8}"/>
            </c:ext>
          </c:extLst>
        </c:ser>
        <c:dLbls>
          <c:showLegendKey val="0"/>
          <c:showVal val="0"/>
          <c:showCatName val="0"/>
          <c:showSerName val="0"/>
          <c:showPercent val="0"/>
          <c:showBubbleSize val="0"/>
        </c:dLbls>
        <c:gapWidth val="60"/>
        <c:axId val="391560287"/>
        <c:axId val="391575679"/>
      </c:barChart>
      <c:lineChart>
        <c:grouping val="stacked"/>
        <c:varyColors val="0"/>
        <c:ser>
          <c:idx val="1"/>
          <c:order val="1"/>
          <c:tx>
            <c:strRef>
              <c:f>'All Ratio Forecast'!$B$14</c:f>
              <c:strCache>
                <c:ptCount val="1"/>
                <c:pt idx="0">
                  <c:v>EBIT Margin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Forecast'!$C$14:$I$14</c:f>
              <c:numCache>
                <c:formatCode>0.0</c:formatCode>
                <c:ptCount val="7"/>
                <c:pt idx="0">
                  <c:v>67.683079230192462</c:v>
                </c:pt>
                <c:pt idx="1">
                  <c:v>70.670157068062821</c:v>
                </c:pt>
                <c:pt idx="2">
                  <c:v>70.840124407254208</c:v>
                </c:pt>
                <c:pt idx="3">
                  <c:v>70.638579301384169</c:v>
                </c:pt>
                <c:pt idx="4">
                  <c:v>69.923804510818982</c:v>
                </c:pt>
                <c:pt idx="5">
                  <c:v>70.163213983177613</c:v>
                </c:pt>
                <c:pt idx="6">
                  <c:v>70.561215963790417</c:v>
                </c:pt>
              </c:numCache>
            </c:numRef>
          </c:val>
          <c:smooth val="0"/>
          <c:extLst>
            <c:ext xmlns:c16="http://schemas.microsoft.com/office/drawing/2014/chart" uri="{C3380CC4-5D6E-409C-BE32-E72D297353CC}">
              <c16:uniqueId val="{00000001-790F-44C7-A32C-E1989E9226B8}"/>
            </c:ext>
          </c:extLst>
        </c:ser>
        <c:dLbls>
          <c:showLegendKey val="0"/>
          <c:showVal val="0"/>
          <c:showCatName val="0"/>
          <c:showSerName val="0"/>
          <c:showPercent val="0"/>
          <c:showBubbleSize val="0"/>
        </c:dLbls>
        <c:marker val="1"/>
        <c:smooth val="0"/>
        <c:axId val="391612703"/>
        <c:axId val="391597311"/>
      </c:lineChart>
      <c:catAx>
        <c:axId val="3915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75679"/>
        <c:crosses val="autoZero"/>
        <c:auto val="1"/>
        <c:lblAlgn val="ctr"/>
        <c:lblOffset val="100"/>
        <c:noMultiLvlLbl val="0"/>
      </c:catAx>
      <c:valAx>
        <c:axId val="3915756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60287"/>
        <c:crosses val="autoZero"/>
        <c:crossBetween val="between"/>
      </c:valAx>
      <c:valAx>
        <c:axId val="39159731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612703"/>
        <c:crosses val="max"/>
        <c:crossBetween val="between"/>
      </c:valAx>
      <c:catAx>
        <c:axId val="391612703"/>
        <c:scaling>
          <c:orientation val="minMax"/>
        </c:scaling>
        <c:delete val="1"/>
        <c:axPos val="b"/>
        <c:numFmt formatCode="General" sourceLinked="1"/>
        <c:majorTickMark val="out"/>
        <c:minorTickMark val="none"/>
        <c:tickLblPos val="nextTo"/>
        <c:crossAx val="391597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PAT</a:t>
            </a:r>
            <a:r>
              <a:rPr lang="en-IN" b="1" baseline="0"/>
              <a:t> and PAT Margin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cked"/>
        <c:varyColors val="0"/>
        <c:ser>
          <c:idx val="0"/>
          <c:order val="0"/>
          <c:tx>
            <c:strRef>
              <c:f>'All Ratio Forecast'!$B$15</c:f>
              <c:strCache>
                <c:ptCount val="1"/>
                <c:pt idx="0">
                  <c:v>PAT</c:v>
                </c:pt>
              </c:strCache>
            </c:strRef>
          </c:tx>
          <c:spPr>
            <a:solidFill>
              <a:schemeClr val="accent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Forecast'!$C$15:$I$15</c:f>
              <c:numCache>
                <c:formatCode>0.0</c:formatCode>
                <c:ptCount val="7"/>
                <c:pt idx="0">
                  <c:v>4856</c:v>
                </c:pt>
                <c:pt idx="1">
                  <c:v>6027</c:v>
                </c:pt>
                <c:pt idx="2">
                  <c:v>5584.7819194151607</c:v>
                </c:pt>
                <c:pt idx="3">
                  <c:v>6220.3937614464503</c:v>
                </c:pt>
                <c:pt idx="4">
                  <c:v>6878.6139512861937</c:v>
                </c:pt>
                <c:pt idx="5">
                  <c:v>7667.7602276920461</c:v>
                </c:pt>
                <c:pt idx="6">
                  <c:v>8567.7204998915768</c:v>
                </c:pt>
              </c:numCache>
            </c:numRef>
          </c:val>
          <c:extLst>
            <c:ext xmlns:c16="http://schemas.microsoft.com/office/drawing/2014/chart" uri="{C3380CC4-5D6E-409C-BE32-E72D297353CC}">
              <c16:uniqueId val="{00000000-229C-4FD6-B2B5-6A50CF7EFA55}"/>
            </c:ext>
          </c:extLst>
        </c:ser>
        <c:dLbls>
          <c:showLegendKey val="0"/>
          <c:showVal val="1"/>
          <c:showCatName val="0"/>
          <c:showSerName val="0"/>
          <c:showPercent val="0"/>
          <c:showBubbleSize val="0"/>
        </c:dLbls>
        <c:axId val="391598559"/>
        <c:axId val="391610623"/>
      </c:areaChart>
      <c:lineChart>
        <c:grouping val="stacked"/>
        <c:varyColors val="0"/>
        <c:ser>
          <c:idx val="1"/>
          <c:order val="1"/>
          <c:tx>
            <c:strRef>
              <c:f>'All Ratio Forecast'!$B$16</c:f>
              <c:strCache>
                <c:ptCount val="1"/>
                <c:pt idx="0">
                  <c:v>PAT Margin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Forecast'!$C$16:$I$16</c:f>
              <c:numCache>
                <c:formatCode>0.0</c:formatCode>
                <c:ptCount val="7"/>
                <c:pt idx="0">
                  <c:v>60.684828792801802</c:v>
                </c:pt>
                <c:pt idx="1">
                  <c:v>63.109947643979055</c:v>
                </c:pt>
                <c:pt idx="2">
                  <c:v>52.989827911360599</c:v>
                </c:pt>
                <c:pt idx="3">
                  <c:v>52.838712371047571</c:v>
                </c:pt>
                <c:pt idx="4">
                  <c:v>52.302437613221819</c:v>
                </c:pt>
                <c:pt idx="5">
                  <c:v>52.48075044139113</c:v>
                </c:pt>
                <c:pt idx="6">
                  <c:v>52.781329631613836</c:v>
                </c:pt>
              </c:numCache>
            </c:numRef>
          </c:val>
          <c:smooth val="0"/>
          <c:extLst>
            <c:ext xmlns:c16="http://schemas.microsoft.com/office/drawing/2014/chart" uri="{C3380CC4-5D6E-409C-BE32-E72D297353CC}">
              <c16:uniqueId val="{00000001-229C-4FD6-B2B5-6A50CF7EFA55}"/>
            </c:ext>
          </c:extLst>
        </c:ser>
        <c:dLbls>
          <c:showLegendKey val="0"/>
          <c:showVal val="1"/>
          <c:showCatName val="0"/>
          <c:showSerName val="0"/>
          <c:showPercent val="0"/>
          <c:showBubbleSize val="0"/>
        </c:dLbls>
        <c:marker val="1"/>
        <c:smooth val="0"/>
        <c:axId val="377187487"/>
        <c:axId val="377176671"/>
      </c:lineChart>
      <c:catAx>
        <c:axId val="39159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610623"/>
        <c:crosses val="autoZero"/>
        <c:auto val="1"/>
        <c:lblAlgn val="ctr"/>
        <c:lblOffset val="100"/>
        <c:noMultiLvlLbl val="0"/>
      </c:catAx>
      <c:valAx>
        <c:axId val="39161062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98559"/>
        <c:crosses val="autoZero"/>
        <c:crossBetween val="between"/>
      </c:valAx>
      <c:valAx>
        <c:axId val="37717667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87487"/>
        <c:crosses val="max"/>
        <c:crossBetween val="between"/>
      </c:valAx>
      <c:catAx>
        <c:axId val="377187487"/>
        <c:scaling>
          <c:orientation val="minMax"/>
        </c:scaling>
        <c:delete val="1"/>
        <c:axPos val="b"/>
        <c:numFmt formatCode="General" sourceLinked="1"/>
        <c:majorTickMark val="out"/>
        <c:minorTickMark val="none"/>
        <c:tickLblPos val="nextTo"/>
        <c:crossAx val="3771766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Current</a:t>
            </a:r>
            <a:r>
              <a:rPr lang="en-IN" b="1" baseline="0"/>
              <a:t> Ratio</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'All Ratio Forecast'!$B$32</c:f>
              <c:strCache>
                <c:ptCount val="1"/>
                <c:pt idx="0">
                  <c:v>Current ratio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Forecast'!$C$32:$I$32</c:f>
              <c:numCache>
                <c:formatCode>0.0</c:formatCode>
                <c:ptCount val="7"/>
                <c:pt idx="0">
                  <c:v>7.60285941223193</c:v>
                </c:pt>
                <c:pt idx="1">
                  <c:v>7.0373765867418898</c:v>
                </c:pt>
                <c:pt idx="2">
                  <c:v>9.6639507330947936</c:v>
                </c:pt>
                <c:pt idx="3">
                  <c:v>12.241699286751828</c:v>
                </c:pt>
                <c:pt idx="4">
                  <c:v>14.189456188770743</c:v>
                </c:pt>
                <c:pt idx="5">
                  <c:v>16.004528767690235</c:v>
                </c:pt>
                <c:pt idx="6">
                  <c:v>17.903240699683863</c:v>
                </c:pt>
              </c:numCache>
            </c:numRef>
          </c:val>
          <c:extLst>
            <c:ext xmlns:c16="http://schemas.microsoft.com/office/drawing/2014/chart" uri="{C3380CC4-5D6E-409C-BE32-E72D297353CC}">
              <c16:uniqueId val="{00000000-D7F6-41EA-A21B-D76F09E9E91B}"/>
            </c:ext>
          </c:extLst>
        </c:ser>
        <c:dLbls>
          <c:dLblPos val="outEnd"/>
          <c:showLegendKey val="0"/>
          <c:showVal val="1"/>
          <c:showCatName val="0"/>
          <c:showSerName val="0"/>
          <c:showPercent val="0"/>
          <c:showBubbleSize val="0"/>
        </c:dLbls>
        <c:gapWidth val="219"/>
        <c:axId val="377183743"/>
        <c:axId val="377184159"/>
      </c:barChart>
      <c:catAx>
        <c:axId val="37718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84159"/>
        <c:crosses val="autoZero"/>
        <c:auto val="1"/>
        <c:lblAlgn val="ctr"/>
        <c:lblOffset val="100"/>
        <c:noMultiLvlLbl val="0"/>
      </c:catAx>
      <c:valAx>
        <c:axId val="37718415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8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Debt/Equity</a:t>
            </a:r>
            <a:r>
              <a:rPr lang="en-IN" b="1" baseline="0"/>
              <a:t> and Interest Coverage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'All Ratio Forecast'!$B$33</c:f>
              <c:strCache>
                <c:ptCount val="1"/>
                <c:pt idx="0">
                  <c:v>Debt/equity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Forecast'!$C$33:$I$33</c:f>
              <c:numCache>
                <c:formatCode>0.0</c:formatCode>
                <c:ptCount val="7"/>
                <c:pt idx="0">
                  <c:v>4.5906259270246219E-2</c:v>
                </c:pt>
                <c:pt idx="1">
                  <c:v>3.444108761329305E-2</c:v>
                </c:pt>
                <c:pt idx="2">
                  <c:v>2.504909485943636E-2</c:v>
                </c:pt>
                <c:pt idx="3">
                  <c:v>1.9213356725877751E-2</c:v>
                </c:pt>
                <c:pt idx="4">
                  <c:v>1.5277501232768137E-2</c:v>
                </c:pt>
                <c:pt idx="5">
                  <c:v>1.2437403897858813E-2</c:v>
                </c:pt>
                <c:pt idx="6">
                  <c:v>1.0298253819545975E-2</c:v>
                </c:pt>
              </c:numCache>
            </c:numRef>
          </c:val>
          <c:extLst>
            <c:ext xmlns:c16="http://schemas.microsoft.com/office/drawing/2014/chart" uri="{C3380CC4-5D6E-409C-BE32-E72D297353CC}">
              <c16:uniqueId val="{00000000-B3D0-4BEC-B985-45A91B0E42C8}"/>
            </c:ext>
          </c:extLst>
        </c:ser>
        <c:dLbls>
          <c:dLblPos val="inBase"/>
          <c:showLegendKey val="0"/>
          <c:showVal val="1"/>
          <c:showCatName val="0"/>
          <c:showSerName val="0"/>
          <c:showPercent val="0"/>
          <c:showBubbleSize val="0"/>
        </c:dLbls>
        <c:gapWidth val="99"/>
        <c:axId val="391613535"/>
        <c:axId val="391616447"/>
      </c:barChart>
      <c:lineChart>
        <c:grouping val="standard"/>
        <c:varyColors val="0"/>
        <c:ser>
          <c:idx val="1"/>
          <c:order val="1"/>
          <c:tx>
            <c:strRef>
              <c:f>'All Ratio Forecast'!$B$34</c:f>
              <c:strCache>
                <c:ptCount val="1"/>
                <c:pt idx="0">
                  <c:v>Interest Coverage ratio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Ratio Forecast'!$C$4:$I$4</c:f>
              <c:strCache>
                <c:ptCount val="7"/>
                <c:pt idx="0">
                  <c:v>2024
Actual</c:v>
                </c:pt>
                <c:pt idx="1">
                  <c:v>2025
Actual</c:v>
                </c:pt>
                <c:pt idx="2">
                  <c:v>2026
Forecast</c:v>
                </c:pt>
                <c:pt idx="3">
                  <c:v>2027
Forecast</c:v>
                </c:pt>
                <c:pt idx="4">
                  <c:v>2028
Forecast</c:v>
                </c:pt>
                <c:pt idx="5">
                  <c:v>2029
Forecast</c:v>
                </c:pt>
                <c:pt idx="6">
                  <c:v>2030
Forecast</c:v>
                </c:pt>
              </c:strCache>
            </c:strRef>
          </c:cat>
          <c:val>
            <c:numRef>
              <c:f>'All Ratio Forecast'!$C$34:$I$34</c:f>
              <c:numCache>
                <c:formatCode>0.0</c:formatCode>
                <c:ptCount val="7"/>
                <c:pt idx="0">
                  <c:v>1354</c:v>
                </c:pt>
                <c:pt idx="1">
                  <c:v>3374.5</c:v>
                </c:pt>
                <c:pt idx="2">
                  <c:v>2494.1714086647248</c:v>
                </c:pt>
                <c:pt idx="3">
                  <c:v>2452.9929911920285</c:v>
                </c:pt>
                <c:pt idx="4">
                  <c:v>2280.5913077989344</c:v>
                </c:pt>
                <c:pt idx="5">
                  <c:v>2207.3856520991549</c:v>
                </c:pt>
                <c:pt idx="6">
                  <c:v>2509.6781349800785</c:v>
                </c:pt>
              </c:numCache>
            </c:numRef>
          </c:val>
          <c:smooth val="0"/>
          <c:extLst>
            <c:ext xmlns:c16="http://schemas.microsoft.com/office/drawing/2014/chart" uri="{C3380CC4-5D6E-409C-BE32-E72D297353CC}">
              <c16:uniqueId val="{00000001-B3D0-4BEC-B985-45A91B0E42C8}"/>
            </c:ext>
          </c:extLst>
        </c:ser>
        <c:dLbls>
          <c:showLegendKey val="0"/>
          <c:showVal val="1"/>
          <c:showCatName val="0"/>
          <c:showSerName val="0"/>
          <c:showPercent val="0"/>
          <c:showBubbleSize val="0"/>
        </c:dLbls>
        <c:marker val="1"/>
        <c:smooth val="0"/>
        <c:axId val="391579839"/>
        <c:axId val="391584415"/>
      </c:lineChart>
      <c:catAx>
        <c:axId val="3915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84415"/>
        <c:crosses val="autoZero"/>
        <c:auto val="1"/>
        <c:lblAlgn val="ctr"/>
        <c:lblOffset val="100"/>
        <c:noMultiLvlLbl val="0"/>
      </c:catAx>
      <c:valAx>
        <c:axId val="3915844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79839"/>
        <c:crosses val="autoZero"/>
        <c:crossBetween val="between"/>
      </c:valAx>
      <c:valAx>
        <c:axId val="39161644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613535"/>
        <c:crosses val="max"/>
        <c:crossBetween val="between"/>
      </c:valAx>
      <c:catAx>
        <c:axId val="391613535"/>
        <c:scaling>
          <c:orientation val="minMax"/>
        </c:scaling>
        <c:delete val="1"/>
        <c:axPos val="b"/>
        <c:numFmt formatCode="General" sourceLinked="1"/>
        <c:majorTickMark val="out"/>
        <c:minorTickMark val="none"/>
        <c:tickLblPos val="nextTo"/>
        <c:crossAx val="3916164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OPERATING</a:t>
            </a:r>
            <a:r>
              <a:rPr lang="en-IN" b="1" baseline="0">
                <a:solidFill>
                  <a:sysClr val="windowText" lastClr="000000"/>
                </a:solidFill>
              </a:rPr>
              <a:t> INCOME (EBIT)</a:t>
            </a:r>
          </a:p>
        </c:rich>
      </c:tx>
      <c:layout>
        <c:manualLayout>
          <c:xMode val="edge"/>
          <c:yMode val="edge"/>
          <c:x val="0.29175553780533758"/>
          <c:y val="3.45906410980394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'Key Ratio Forecast'!$B$5</c:f>
              <c:strCache>
                <c:ptCount val="1"/>
                <c:pt idx="0">
                  <c:v>Operating Income</c:v>
                </c:pt>
              </c:strCache>
            </c:strRef>
          </c:tx>
          <c:spPr>
            <a:solidFill>
              <a:schemeClr val="accent6"/>
            </a:solidFill>
            <a:ln>
              <a:noFill/>
            </a:ln>
            <a:effectLst/>
          </c:spPr>
          <c:invertIfNegative val="0"/>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Forecast'!$C$5:$H$5</c:f>
              <c:numCache>
                <c:formatCode>_(* #,##0.00_);_(* \(#,##0.00\);_(* "-"??_);_(@_)</c:formatCode>
                <c:ptCount val="6"/>
                <c:pt idx="0">
                  <c:v>6749</c:v>
                </c:pt>
                <c:pt idx="1">
                  <c:v>7466.0866349772532</c:v>
                </c:pt>
                <c:pt idx="2">
                  <c:v>8315.8683905502403</c:v>
                </c:pt>
                <c:pt idx="3">
                  <c:v>9196.1078524098975</c:v>
                </c:pt>
                <c:pt idx="4">
                  <c:v>10251.276841554914</c:v>
                </c:pt>
                <c:pt idx="5">
                  <c:v>11453.837573431347</c:v>
                </c:pt>
              </c:numCache>
            </c:numRef>
          </c:val>
          <c:extLst>
            <c:ext xmlns:c16="http://schemas.microsoft.com/office/drawing/2014/chart" uri="{C3380CC4-5D6E-409C-BE32-E72D297353CC}">
              <c16:uniqueId val="{00000000-0CCD-43AD-BAB2-1FB2F83CCBF6}"/>
            </c:ext>
          </c:extLst>
        </c:ser>
        <c:dLbls>
          <c:showLegendKey val="0"/>
          <c:showVal val="0"/>
          <c:showCatName val="0"/>
          <c:showSerName val="0"/>
          <c:showPercent val="0"/>
          <c:showBubbleSize val="0"/>
        </c:dLbls>
        <c:gapWidth val="49"/>
        <c:overlap val="100"/>
        <c:axId val="217108911"/>
        <c:axId val="217103919"/>
      </c:barChart>
      <c:lineChart>
        <c:grouping val="stacked"/>
        <c:varyColors val="0"/>
        <c:ser>
          <c:idx val="1"/>
          <c:order val="1"/>
          <c:tx>
            <c:strRef>
              <c:f>'Key Ratio Forecast'!$B$6</c:f>
              <c:strCache>
                <c:ptCount val="1"/>
                <c:pt idx="0">
                  <c:v>EBIT Growth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Forecast'!$C$6:$H$6</c:f>
              <c:numCache>
                <c:formatCode>0%</c:formatCode>
                <c:ptCount val="6"/>
                <c:pt idx="0">
                  <c:v>0.24612259970457903</c:v>
                </c:pt>
                <c:pt idx="1">
                  <c:v>0.1062507978926142</c:v>
                </c:pt>
                <c:pt idx="2">
                  <c:v>0.11381889832243772</c:v>
                </c:pt>
                <c:pt idx="3">
                  <c:v>0.10585057633426712</c:v>
                </c:pt>
                <c:pt idx="4">
                  <c:v>0.11474082362665018</c:v>
                </c:pt>
                <c:pt idx="5">
                  <c:v>0.11730838513712677</c:v>
                </c:pt>
              </c:numCache>
            </c:numRef>
          </c:val>
          <c:smooth val="0"/>
          <c:extLst>
            <c:ext xmlns:c16="http://schemas.microsoft.com/office/drawing/2014/chart" uri="{C3380CC4-5D6E-409C-BE32-E72D297353CC}">
              <c16:uniqueId val="{00000001-0CCD-43AD-BAB2-1FB2F83CCBF6}"/>
            </c:ext>
          </c:extLst>
        </c:ser>
        <c:dLbls>
          <c:showLegendKey val="0"/>
          <c:showVal val="0"/>
          <c:showCatName val="0"/>
          <c:showSerName val="0"/>
          <c:showPercent val="0"/>
          <c:showBubbleSize val="0"/>
        </c:dLbls>
        <c:marker val="1"/>
        <c:smooth val="0"/>
        <c:axId val="217082287"/>
        <c:axId val="217074799"/>
      </c:lineChart>
      <c:catAx>
        <c:axId val="2171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103919"/>
        <c:crosses val="autoZero"/>
        <c:auto val="1"/>
        <c:lblAlgn val="ctr"/>
        <c:lblOffset val="100"/>
        <c:noMultiLvlLbl val="0"/>
      </c:catAx>
      <c:valAx>
        <c:axId val="21710391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108911"/>
        <c:crosses val="autoZero"/>
        <c:crossBetween val="between"/>
      </c:valAx>
      <c:valAx>
        <c:axId val="21707479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082287"/>
        <c:crosses val="max"/>
        <c:crossBetween val="between"/>
      </c:valAx>
      <c:catAx>
        <c:axId val="217082287"/>
        <c:scaling>
          <c:orientation val="minMax"/>
        </c:scaling>
        <c:delete val="1"/>
        <c:axPos val="b"/>
        <c:numFmt formatCode="General" sourceLinked="1"/>
        <c:majorTickMark val="out"/>
        <c:minorTickMark val="none"/>
        <c:tickLblPos val="nextTo"/>
        <c:crossAx val="217074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EBITDA</a:t>
            </a:r>
            <a:r>
              <a:rPr lang="en-IN" b="1" baseline="0">
                <a:solidFill>
                  <a:sysClr val="windowText" lastClr="000000"/>
                </a:solidFill>
              </a:rPr>
              <a:t> MARGIN</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'Key Ratio Forecast'!$B$7</c:f>
              <c:strCache>
                <c:ptCount val="1"/>
                <c:pt idx="0">
                  <c:v>EBITDA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Forecast'!$C$7:$H$7</c:f>
              <c:numCache>
                <c:formatCode>_(* #,##0.00_);_(* \(#,##0.00\);_(* "-"??_);_(@_)</c:formatCode>
                <c:ptCount val="6"/>
                <c:pt idx="0">
                  <c:v>7150</c:v>
                </c:pt>
                <c:pt idx="1">
                  <c:v>7912.784636629247</c:v>
                </c:pt>
                <c:pt idx="2">
                  <c:v>8809.3359187241749</c:v>
                </c:pt>
                <c:pt idx="3">
                  <c:v>9741.2988583872193</c:v>
                </c:pt>
                <c:pt idx="4">
                  <c:v>10847.205663208206</c:v>
                </c:pt>
                <c:pt idx="5">
                  <c:v>12112.190816738606</c:v>
                </c:pt>
              </c:numCache>
            </c:numRef>
          </c:val>
          <c:extLst>
            <c:ext xmlns:c16="http://schemas.microsoft.com/office/drawing/2014/chart" uri="{C3380CC4-5D6E-409C-BE32-E72D297353CC}">
              <c16:uniqueId val="{00000000-40C4-4918-AA49-45A1AC5D6292}"/>
            </c:ext>
          </c:extLst>
        </c:ser>
        <c:dLbls>
          <c:dLblPos val="inBase"/>
          <c:showLegendKey val="0"/>
          <c:showVal val="1"/>
          <c:showCatName val="0"/>
          <c:showSerName val="0"/>
          <c:showPercent val="0"/>
          <c:showBubbleSize val="0"/>
        </c:dLbls>
        <c:gapWidth val="60"/>
        <c:axId val="477170111"/>
        <c:axId val="477192991"/>
      </c:barChart>
      <c:lineChart>
        <c:grouping val="standard"/>
        <c:varyColors val="0"/>
        <c:ser>
          <c:idx val="1"/>
          <c:order val="1"/>
          <c:tx>
            <c:strRef>
              <c:f>'Key Ratio Forecast'!$B$8</c:f>
              <c:strCache>
                <c:ptCount val="1"/>
                <c:pt idx="0">
                  <c:v>EBITDA Margin (%)</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Forecast'!$C$8:$H$8</c:f>
              <c:numCache>
                <c:formatCode>0%</c:formatCode>
                <c:ptCount val="6"/>
                <c:pt idx="0">
                  <c:v>0.74869109947643975</c:v>
                </c:pt>
                <c:pt idx="1">
                  <c:v>0.75078508390270438</c:v>
                </c:pt>
                <c:pt idx="2">
                  <c:v>0.74830305707394074</c:v>
                </c:pt>
                <c:pt idx="3">
                  <c:v>0.74069235375141096</c:v>
                </c:pt>
                <c:pt idx="4">
                  <c:v>0.74241952864066207</c:v>
                </c:pt>
                <c:pt idx="5">
                  <c:v>0.74616992473946442</c:v>
                </c:pt>
              </c:numCache>
            </c:numRef>
          </c:val>
          <c:smooth val="0"/>
          <c:extLst>
            <c:ext xmlns:c16="http://schemas.microsoft.com/office/drawing/2014/chart" uri="{C3380CC4-5D6E-409C-BE32-E72D297353CC}">
              <c16:uniqueId val="{00000001-40C4-4918-AA49-45A1AC5D6292}"/>
            </c:ext>
          </c:extLst>
        </c:ser>
        <c:dLbls>
          <c:showLegendKey val="0"/>
          <c:showVal val="1"/>
          <c:showCatName val="0"/>
          <c:showSerName val="0"/>
          <c:showPercent val="0"/>
          <c:showBubbleSize val="0"/>
        </c:dLbls>
        <c:marker val="1"/>
        <c:smooth val="0"/>
        <c:axId val="750317376"/>
        <c:axId val="750313536"/>
      </c:lineChart>
      <c:catAx>
        <c:axId val="47717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7192991"/>
        <c:crosses val="autoZero"/>
        <c:auto val="1"/>
        <c:lblAlgn val="ctr"/>
        <c:lblOffset val="100"/>
        <c:noMultiLvlLbl val="0"/>
      </c:catAx>
      <c:valAx>
        <c:axId val="477192991"/>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7170111"/>
        <c:crosses val="autoZero"/>
        <c:crossBetween val="between"/>
      </c:valAx>
      <c:valAx>
        <c:axId val="750313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17376"/>
        <c:crosses val="max"/>
        <c:crossBetween val="between"/>
      </c:valAx>
      <c:catAx>
        <c:axId val="750317376"/>
        <c:scaling>
          <c:orientation val="minMax"/>
        </c:scaling>
        <c:delete val="1"/>
        <c:axPos val="b"/>
        <c:numFmt formatCode="General" sourceLinked="1"/>
        <c:majorTickMark val="out"/>
        <c:minorTickMark val="none"/>
        <c:tickLblPos val="nextTo"/>
        <c:crossAx val="75031353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RETURN RATIOS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lineChart>
        <c:grouping val="standard"/>
        <c:varyColors val="0"/>
        <c:ser>
          <c:idx val="0"/>
          <c:order val="0"/>
          <c:tx>
            <c:strRef>
              <c:f>'Key Ratio Forecast'!$B$13</c:f>
              <c:strCache>
                <c:ptCount val="1"/>
                <c:pt idx="0">
                  <c:v>ROCE (%)</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Forecast'!$C$13:$H$13</c:f>
              <c:numCache>
                <c:formatCode>0%</c:formatCode>
                <c:ptCount val="6"/>
                <c:pt idx="0">
                  <c:v>0.50070480005935158</c:v>
                </c:pt>
                <c:pt idx="1">
                  <c:v>0.3946616383279245</c:v>
                </c:pt>
                <c:pt idx="2">
                  <c:v>0.33269034382633689</c:v>
                </c:pt>
                <c:pt idx="3">
                  <c:v>0.29053002930855776</c:v>
                </c:pt>
                <c:pt idx="4">
                  <c:v>0.26225085479257298</c:v>
                </c:pt>
                <c:pt idx="5">
                  <c:v>0.24140371159308457</c:v>
                </c:pt>
              </c:numCache>
            </c:numRef>
          </c:val>
          <c:smooth val="0"/>
          <c:extLst>
            <c:ext xmlns:c16="http://schemas.microsoft.com/office/drawing/2014/chart" uri="{C3380CC4-5D6E-409C-BE32-E72D297353CC}">
              <c16:uniqueId val="{00000000-CA65-4260-AABC-80408549BD0F}"/>
            </c:ext>
          </c:extLst>
        </c:ser>
        <c:ser>
          <c:idx val="1"/>
          <c:order val="1"/>
          <c:tx>
            <c:strRef>
              <c:f>'Key Ratio Forecast'!$B$14</c:f>
              <c:strCache>
                <c:ptCount val="1"/>
                <c:pt idx="0">
                  <c:v>ROE (%)</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'Key Ratio Forecast'!$C$4:$H$4</c:f>
              <c:strCache>
                <c:ptCount val="6"/>
                <c:pt idx="0">
                  <c:v>2025
Actual</c:v>
                </c:pt>
                <c:pt idx="1">
                  <c:v>2026
Forecast</c:v>
                </c:pt>
                <c:pt idx="2">
                  <c:v>2027
Forecast</c:v>
                </c:pt>
                <c:pt idx="3">
                  <c:v>2028
Forecast</c:v>
                </c:pt>
                <c:pt idx="4">
                  <c:v>2029
Forecast</c:v>
                </c:pt>
                <c:pt idx="5">
                  <c:v>2030
Forecast</c:v>
                </c:pt>
              </c:strCache>
            </c:strRef>
          </c:cat>
          <c:val>
            <c:numRef>
              <c:f>'Key Ratio Forecast'!$C$14:$H$14</c:f>
              <c:numCache>
                <c:formatCode>0%</c:formatCode>
                <c:ptCount val="6"/>
                <c:pt idx="0">
                  <c:v>0.40463242698892243</c:v>
                </c:pt>
                <c:pt idx="1">
                  <c:v>0.27269733346724256</c:v>
                </c:pt>
                <c:pt idx="2">
                  <c:v>0.23297201620681318</c:v>
                </c:pt>
                <c:pt idx="3">
                  <c:v>0.20484996709651254</c:v>
                </c:pt>
                <c:pt idx="4">
                  <c:v>0.1859006451145104</c:v>
                </c:pt>
                <c:pt idx="5">
                  <c:v>0.17199329505421204</c:v>
                </c:pt>
              </c:numCache>
            </c:numRef>
          </c:val>
          <c:smooth val="0"/>
          <c:extLst>
            <c:ext xmlns:c16="http://schemas.microsoft.com/office/drawing/2014/chart" uri="{C3380CC4-5D6E-409C-BE32-E72D297353CC}">
              <c16:uniqueId val="{00000001-CA65-4260-AABC-80408549BD0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7076047"/>
        <c:axId val="217072303"/>
      </c:lineChart>
      <c:catAx>
        <c:axId val="2170760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7072303"/>
        <c:crosses val="autoZero"/>
        <c:auto val="1"/>
        <c:lblAlgn val="ctr"/>
        <c:lblOffset val="100"/>
        <c:noMultiLvlLbl val="0"/>
      </c:catAx>
      <c:valAx>
        <c:axId val="2170723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70760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Sheet15!$B$3:$B$4</c:f>
              <c:strCache>
                <c:ptCount val="1"/>
                <c:pt idx="0">
                  <c:v>Cipla</c:v>
                </c:pt>
              </c:strCache>
            </c:strRef>
          </c:tx>
          <c:spPr>
            <a:ln w="28575" cap="rnd">
              <a:solidFill>
                <a:schemeClr val="accent1"/>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Sheet15!$B$5:$B$10</c:f>
              <c:numCache>
                <c:formatCode>General</c:formatCode>
                <c:ptCount val="5"/>
                <c:pt idx="0">
                  <c:v>0</c:v>
                </c:pt>
                <c:pt idx="1">
                  <c:v>119.77</c:v>
                </c:pt>
                <c:pt idx="2">
                  <c:v>18.28</c:v>
                </c:pt>
                <c:pt idx="3">
                  <c:v>5.31</c:v>
                </c:pt>
                <c:pt idx="4">
                  <c:v>16.89</c:v>
                </c:pt>
              </c:numCache>
            </c:numRef>
          </c:val>
          <c:smooth val="0"/>
          <c:extLst>
            <c:ext xmlns:c16="http://schemas.microsoft.com/office/drawing/2014/chart" uri="{C3380CC4-5D6E-409C-BE32-E72D297353CC}">
              <c16:uniqueId val="{00000000-48CD-40D9-8963-10658D57B6E8}"/>
            </c:ext>
          </c:extLst>
        </c:ser>
        <c:ser>
          <c:idx val="1"/>
          <c:order val="1"/>
          <c:tx>
            <c:strRef>
              <c:f>Sheet15!$C$3:$C$4</c:f>
              <c:strCache>
                <c:ptCount val="1"/>
                <c:pt idx="0">
                  <c:v>Divis Lab</c:v>
                </c:pt>
              </c:strCache>
            </c:strRef>
          </c:tx>
          <c:spPr>
            <a:ln w="28575" cap="rnd">
              <a:solidFill>
                <a:schemeClr val="accent2"/>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Sheet15!$C$5:$C$10</c:f>
              <c:numCache>
                <c:formatCode>General</c:formatCode>
                <c:ptCount val="5"/>
                <c:pt idx="0">
                  <c:v>0</c:v>
                </c:pt>
                <c:pt idx="1">
                  <c:v>30.61</c:v>
                </c:pt>
                <c:pt idx="2">
                  <c:v>-14.13</c:v>
                </c:pt>
                <c:pt idx="3">
                  <c:v>0.52</c:v>
                </c:pt>
                <c:pt idx="4">
                  <c:v>20</c:v>
                </c:pt>
              </c:numCache>
            </c:numRef>
          </c:val>
          <c:smooth val="0"/>
          <c:extLst>
            <c:ext xmlns:c16="http://schemas.microsoft.com/office/drawing/2014/chart" uri="{C3380CC4-5D6E-409C-BE32-E72D297353CC}">
              <c16:uniqueId val="{00000001-48CD-40D9-8963-10658D57B6E8}"/>
            </c:ext>
          </c:extLst>
        </c:ser>
        <c:ser>
          <c:idx val="2"/>
          <c:order val="2"/>
          <c:tx>
            <c:strRef>
              <c:f>Sheet15!$D$3:$D$4</c:f>
              <c:strCache>
                <c:ptCount val="1"/>
                <c:pt idx="0">
                  <c:v>Dr Reddy</c:v>
                </c:pt>
              </c:strCache>
            </c:strRef>
          </c:tx>
          <c:spPr>
            <a:ln w="28575" cap="rnd">
              <a:solidFill>
                <a:schemeClr val="accent3"/>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Sheet15!$D$5:$D$10</c:f>
              <c:numCache>
                <c:formatCode>General</c:formatCode>
                <c:ptCount val="5"/>
                <c:pt idx="0">
                  <c:v>29.5</c:v>
                </c:pt>
                <c:pt idx="1">
                  <c:v>21.35</c:v>
                </c:pt>
                <c:pt idx="2">
                  <c:v>28.33</c:v>
                </c:pt>
                <c:pt idx="3">
                  <c:v>34.840000000000003</c:v>
                </c:pt>
                <c:pt idx="4">
                  <c:v>36.28</c:v>
                </c:pt>
              </c:numCache>
            </c:numRef>
          </c:val>
          <c:smooth val="0"/>
          <c:extLst>
            <c:ext xmlns:c16="http://schemas.microsoft.com/office/drawing/2014/chart" uri="{C3380CC4-5D6E-409C-BE32-E72D297353CC}">
              <c16:uniqueId val="{00000002-48CD-40D9-8963-10658D57B6E8}"/>
            </c:ext>
          </c:extLst>
        </c:ser>
        <c:ser>
          <c:idx val="3"/>
          <c:order val="3"/>
          <c:tx>
            <c:strRef>
              <c:f>Sheet15!$E$3:$E$4</c:f>
              <c:strCache>
                <c:ptCount val="1"/>
                <c:pt idx="0">
                  <c:v>Sun Pharma</c:v>
                </c:pt>
              </c:strCache>
            </c:strRef>
          </c:tx>
          <c:spPr>
            <a:ln w="28575" cap="rnd">
              <a:solidFill>
                <a:schemeClr val="accent4"/>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Sheet15!$E$5:$E$10</c:f>
              <c:numCache>
                <c:formatCode>General</c:formatCode>
                <c:ptCount val="5"/>
                <c:pt idx="0">
                  <c:v>0</c:v>
                </c:pt>
                <c:pt idx="1">
                  <c:v>27.22</c:v>
                </c:pt>
                <c:pt idx="2">
                  <c:v>13.89</c:v>
                </c:pt>
                <c:pt idx="3">
                  <c:v>14.13</c:v>
                </c:pt>
                <c:pt idx="4">
                  <c:v>5.14</c:v>
                </c:pt>
              </c:numCache>
            </c:numRef>
          </c:val>
          <c:smooth val="0"/>
          <c:extLst>
            <c:ext xmlns:c16="http://schemas.microsoft.com/office/drawing/2014/chart" uri="{C3380CC4-5D6E-409C-BE32-E72D297353CC}">
              <c16:uniqueId val="{00000003-48CD-40D9-8963-10658D57B6E8}"/>
            </c:ext>
          </c:extLst>
        </c:ser>
        <c:dLbls>
          <c:showLegendKey val="0"/>
          <c:showVal val="0"/>
          <c:showCatName val="0"/>
          <c:showSerName val="0"/>
          <c:showPercent val="0"/>
          <c:showBubbleSize val="0"/>
        </c:dLbls>
        <c:smooth val="0"/>
        <c:axId val="746263104"/>
        <c:axId val="746255904"/>
      </c:lineChart>
      <c:catAx>
        <c:axId val="74626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55904"/>
        <c:crosses val="autoZero"/>
        <c:auto val="1"/>
        <c:lblAlgn val="ctr"/>
        <c:lblOffset val="100"/>
        <c:noMultiLvlLbl val="0"/>
      </c:catAx>
      <c:valAx>
        <c:axId val="7462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6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Sheet15!$B$13:$B$14</c:f>
              <c:strCache>
                <c:ptCount val="1"/>
                <c:pt idx="0">
                  <c:v>Cipla</c:v>
                </c:pt>
              </c:strCache>
            </c:strRef>
          </c:tx>
          <c:spPr>
            <a:solidFill>
              <a:schemeClr val="accent1"/>
            </a:solidFill>
            <a:ln>
              <a:noFill/>
            </a:ln>
            <a:effectLst/>
          </c:spPr>
          <c:invertIfNegative val="0"/>
          <c:cat>
            <c:strRef>
              <c:f>Sheet15!$A$15:$A$20</c:f>
              <c:strCache>
                <c:ptCount val="5"/>
                <c:pt idx="0">
                  <c:v>2021</c:v>
                </c:pt>
                <c:pt idx="1">
                  <c:v>2022</c:v>
                </c:pt>
                <c:pt idx="2">
                  <c:v>2023</c:v>
                </c:pt>
                <c:pt idx="3">
                  <c:v>2024</c:v>
                </c:pt>
                <c:pt idx="4">
                  <c:v>2025</c:v>
                </c:pt>
              </c:strCache>
            </c:strRef>
          </c:cat>
          <c:val>
            <c:numRef>
              <c:f>Sheet15!$B$15:$B$20</c:f>
              <c:numCache>
                <c:formatCode>0.00\%</c:formatCode>
                <c:ptCount val="5"/>
                <c:pt idx="0">
                  <c:v>-19.079999999999998</c:v>
                </c:pt>
                <c:pt idx="1">
                  <c:v>7.57</c:v>
                </c:pt>
                <c:pt idx="2">
                  <c:v>13.07</c:v>
                </c:pt>
                <c:pt idx="3">
                  <c:v>13.03</c:v>
                </c:pt>
                <c:pt idx="4">
                  <c:v>15.19</c:v>
                </c:pt>
              </c:numCache>
            </c:numRef>
          </c:val>
          <c:extLst>
            <c:ext xmlns:c16="http://schemas.microsoft.com/office/drawing/2014/chart" uri="{C3380CC4-5D6E-409C-BE32-E72D297353CC}">
              <c16:uniqueId val="{00000000-F973-41E8-82A7-349EF859CDFE}"/>
            </c:ext>
          </c:extLst>
        </c:ser>
        <c:ser>
          <c:idx val="1"/>
          <c:order val="1"/>
          <c:tx>
            <c:strRef>
              <c:f>Sheet15!$C$13:$C$14</c:f>
              <c:strCache>
                <c:ptCount val="1"/>
                <c:pt idx="0">
                  <c:v>Divis Lab</c:v>
                </c:pt>
              </c:strCache>
            </c:strRef>
          </c:tx>
          <c:spPr>
            <a:solidFill>
              <a:schemeClr val="accent2"/>
            </a:solidFill>
            <a:ln>
              <a:noFill/>
            </a:ln>
            <a:effectLst/>
          </c:spPr>
          <c:invertIfNegative val="0"/>
          <c:cat>
            <c:strRef>
              <c:f>Sheet15!$A$15:$A$20</c:f>
              <c:strCache>
                <c:ptCount val="5"/>
                <c:pt idx="0">
                  <c:v>2021</c:v>
                </c:pt>
                <c:pt idx="1">
                  <c:v>2022</c:v>
                </c:pt>
                <c:pt idx="2">
                  <c:v>2023</c:v>
                </c:pt>
                <c:pt idx="3">
                  <c:v>2024</c:v>
                </c:pt>
                <c:pt idx="4">
                  <c:v>2025</c:v>
                </c:pt>
              </c:strCache>
            </c:strRef>
          </c:cat>
          <c:val>
            <c:numRef>
              <c:f>Sheet15!$C$15:$C$20</c:f>
              <c:numCache>
                <c:formatCode>0.00\%</c:formatCode>
                <c:ptCount val="5"/>
                <c:pt idx="0">
                  <c:v>46.17</c:v>
                </c:pt>
                <c:pt idx="1">
                  <c:v>48.42</c:v>
                </c:pt>
                <c:pt idx="2">
                  <c:v>39.869999999999997</c:v>
                </c:pt>
                <c:pt idx="3">
                  <c:v>37.68</c:v>
                </c:pt>
                <c:pt idx="4">
                  <c:v>40.58</c:v>
                </c:pt>
              </c:numCache>
            </c:numRef>
          </c:val>
          <c:extLst>
            <c:ext xmlns:c16="http://schemas.microsoft.com/office/drawing/2014/chart" uri="{C3380CC4-5D6E-409C-BE32-E72D297353CC}">
              <c16:uniqueId val="{00000001-F973-41E8-82A7-349EF859CDFE}"/>
            </c:ext>
          </c:extLst>
        </c:ser>
        <c:ser>
          <c:idx val="2"/>
          <c:order val="2"/>
          <c:tx>
            <c:strRef>
              <c:f>Sheet15!$D$13:$D$14</c:f>
              <c:strCache>
                <c:ptCount val="1"/>
                <c:pt idx="0">
                  <c:v>Dr Reddy</c:v>
                </c:pt>
              </c:strCache>
            </c:strRef>
          </c:tx>
          <c:spPr>
            <a:solidFill>
              <a:schemeClr val="accent3"/>
            </a:solidFill>
            <a:ln>
              <a:noFill/>
            </a:ln>
            <a:effectLst/>
          </c:spPr>
          <c:invertIfNegative val="0"/>
          <c:cat>
            <c:strRef>
              <c:f>Sheet15!$A$15:$A$20</c:f>
              <c:strCache>
                <c:ptCount val="5"/>
                <c:pt idx="0">
                  <c:v>2021</c:v>
                </c:pt>
                <c:pt idx="1">
                  <c:v>2022</c:v>
                </c:pt>
                <c:pt idx="2">
                  <c:v>2023</c:v>
                </c:pt>
                <c:pt idx="3">
                  <c:v>2024</c:v>
                </c:pt>
                <c:pt idx="4">
                  <c:v>2025</c:v>
                </c:pt>
              </c:strCache>
            </c:strRef>
          </c:cat>
          <c:val>
            <c:numRef>
              <c:f>Sheet15!$D$15:$D$20</c:f>
              <c:numCache>
                <c:formatCode>0.00\%</c:formatCode>
                <c:ptCount val="5"/>
                <c:pt idx="0">
                  <c:v>16.38</c:v>
                </c:pt>
                <c:pt idx="1">
                  <c:v>11.27</c:v>
                </c:pt>
                <c:pt idx="2">
                  <c:v>15.4</c:v>
                </c:pt>
                <c:pt idx="3">
                  <c:v>22.29</c:v>
                </c:pt>
                <c:pt idx="4">
                  <c:v>23.14</c:v>
                </c:pt>
              </c:numCache>
            </c:numRef>
          </c:val>
          <c:extLst>
            <c:ext xmlns:c16="http://schemas.microsoft.com/office/drawing/2014/chart" uri="{C3380CC4-5D6E-409C-BE32-E72D297353CC}">
              <c16:uniqueId val="{00000002-F973-41E8-82A7-349EF859CDFE}"/>
            </c:ext>
          </c:extLst>
        </c:ser>
        <c:ser>
          <c:idx val="3"/>
          <c:order val="3"/>
          <c:tx>
            <c:strRef>
              <c:f>Sheet15!$E$13:$E$14</c:f>
              <c:strCache>
                <c:ptCount val="1"/>
                <c:pt idx="0">
                  <c:v>Sun Pharma</c:v>
                </c:pt>
              </c:strCache>
            </c:strRef>
          </c:tx>
          <c:spPr>
            <a:solidFill>
              <a:schemeClr val="accent4"/>
            </a:solidFill>
            <a:ln>
              <a:noFill/>
            </a:ln>
            <a:effectLst/>
          </c:spPr>
          <c:invertIfNegative val="0"/>
          <c:cat>
            <c:strRef>
              <c:f>Sheet15!$A$15:$A$20</c:f>
              <c:strCache>
                <c:ptCount val="5"/>
                <c:pt idx="0">
                  <c:v>2021</c:v>
                </c:pt>
                <c:pt idx="1">
                  <c:v>2022</c:v>
                </c:pt>
                <c:pt idx="2">
                  <c:v>2023</c:v>
                </c:pt>
                <c:pt idx="3">
                  <c:v>2024</c:v>
                </c:pt>
                <c:pt idx="4">
                  <c:v>2025</c:v>
                </c:pt>
              </c:strCache>
            </c:strRef>
          </c:cat>
          <c:val>
            <c:numRef>
              <c:f>Sheet15!$E$15:$E$20</c:f>
              <c:numCache>
                <c:formatCode>0.00\%</c:formatCode>
                <c:ptCount val="5"/>
                <c:pt idx="0">
                  <c:v>56.66</c:v>
                </c:pt>
                <c:pt idx="1">
                  <c:v>59.45</c:v>
                </c:pt>
                <c:pt idx="2">
                  <c:v>11.23</c:v>
                </c:pt>
                <c:pt idx="3">
                  <c:v>63.17</c:v>
                </c:pt>
                <c:pt idx="4">
                  <c:v>67.94</c:v>
                </c:pt>
              </c:numCache>
            </c:numRef>
          </c:val>
          <c:extLst>
            <c:ext xmlns:c16="http://schemas.microsoft.com/office/drawing/2014/chart" uri="{C3380CC4-5D6E-409C-BE32-E72D297353CC}">
              <c16:uniqueId val="{00000003-F973-41E8-82A7-349EF859CDFE}"/>
            </c:ext>
          </c:extLst>
        </c:ser>
        <c:dLbls>
          <c:showLegendKey val="0"/>
          <c:showVal val="0"/>
          <c:showCatName val="0"/>
          <c:showSerName val="0"/>
          <c:showPercent val="0"/>
          <c:showBubbleSize val="0"/>
        </c:dLbls>
        <c:gapWidth val="219"/>
        <c:overlap val="-27"/>
        <c:axId val="746282784"/>
        <c:axId val="746281824"/>
      </c:barChart>
      <c:catAx>
        <c:axId val="7462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81824"/>
        <c:crosses val="autoZero"/>
        <c:auto val="1"/>
        <c:lblAlgn val="ctr"/>
        <c:lblOffset val="100"/>
        <c:noMultiLvlLbl val="0"/>
      </c:catAx>
      <c:valAx>
        <c:axId val="74628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Sheet15!$B$23:$B$24</c:f>
              <c:strCache>
                <c:ptCount val="1"/>
                <c:pt idx="0">
                  <c:v>Cipla</c:v>
                </c:pt>
              </c:strCache>
            </c:strRef>
          </c:tx>
          <c:spPr>
            <a:solidFill>
              <a:schemeClr val="accent1"/>
            </a:solidFill>
            <a:ln>
              <a:noFill/>
            </a:ln>
            <a:effectLst/>
          </c:spPr>
          <c:invertIfNegative val="0"/>
          <c:cat>
            <c:strRef>
              <c:f>Sheet15!$A$25:$A$30</c:f>
              <c:strCache>
                <c:ptCount val="5"/>
                <c:pt idx="0">
                  <c:v>2021</c:v>
                </c:pt>
                <c:pt idx="1">
                  <c:v>2022</c:v>
                </c:pt>
                <c:pt idx="2">
                  <c:v>2023</c:v>
                </c:pt>
                <c:pt idx="3">
                  <c:v>2024</c:v>
                </c:pt>
                <c:pt idx="4">
                  <c:v>2025</c:v>
                </c:pt>
              </c:strCache>
            </c:strRef>
          </c:cat>
          <c:val>
            <c:numRef>
              <c:f>Sheet15!$B$25:$B$30</c:f>
              <c:numCache>
                <c:formatCode>General</c:formatCode>
                <c:ptCount val="5"/>
                <c:pt idx="0">
                  <c:v>-191.76</c:v>
                </c:pt>
                <c:pt idx="1">
                  <c:v>141.09</c:v>
                </c:pt>
                <c:pt idx="2">
                  <c:v>16.5</c:v>
                </c:pt>
                <c:pt idx="3">
                  <c:v>18.14</c:v>
                </c:pt>
                <c:pt idx="4">
                  <c:v>59.86</c:v>
                </c:pt>
              </c:numCache>
            </c:numRef>
          </c:val>
          <c:extLst>
            <c:ext xmlns:c16="http://schemas.microsoft.com/office/drawing/2014/chart" uri="{C3380CC4-5D6E-409C-BE32-E72D297353CC}">
              <c16:uniqueId val="{00000000-C484-4667-B82F-AD56CDBD8C82}"/>
            </c:ext>
          </c:extLst>
        </c:ser>
        <c:ser>
          <c:idx val="1"/>
          <c:order val="1"/>
          <c:tx>
            <c:strRef>
              <c:f>Sheet15!$C$23:$C$24</c:f>
              <c:strCache>
                <c:ptCount val="1"/>
                <c:pt idx="0">
                  <c:v>Divis Lab</c:v>
                </c:pt>
              </c:strCache>
            </c:strRef>
          </c:tx>
          <c:spPr>
            <a:solidFill>
              <a:schemeClr val="accent2"/>
            </a:solidFill>
            <a:ln>
              <a:noFill/>
            </a:ln>
            <a:effectLst/>
          </c:spPr>
          <c:invertIfNegative val="0"/>
          <c:cat>
            <c:strRef>
              <c:f>Sheet15!$A$25:$A$30</c:f>
              <c:strCache>
                <c:ptCount val="5"/>
                <c:pt idx="0">
                  <c:v>2021</c:v>
                </c:pt>
                <c:pt idx="1">
                  <c:v>2022</c:v>
                </c:pt>
                <c:pt idx="2">
                  <c:v>2023</c:v>
                </c:pt>
                <c:pt idx="3">
                  <c:v>2024</c:v>
                </c:pt>
                <c:pt idx="4">
                  <c:v>2025</c:v>
                </c:pt>
              </c:strCache>
            </c:strRef>
          </c:cat>
          <c:val>
            <c:numRef>
              <c:f>Sheet15!$C$25:$C$30</c:f>
              <c:numCache>
                <c:formatCode>General</c:formatCode>
                <c:ptCount val="5"/>
                <c:pt idx="0">
                  <c:v>1734.24</c:v>
                </c:pt>
                <c:pt idx="1">
                  <c:v>2485.17</c:v>
                </c:pt>
                <c:pt idx="2">
                  <c:v>1520</c:v>
                </c:pt>
                <c:pt idx="3">
                  <c:v>722</c:v>
                </c:pt>
                <c:pt idx="4">
                  <c:v>1866.5</c:v>
                </c:pt>
              </c:numCache>
            </c:numRef>
          </c:val>
          <c:extLst>
            <c:ext xmlns:c16="http://schemas.microsoft.com/office/drawing/2014/chart" uri="{C3380CC4-5D6E-409C-BE32-E72D297353CC}">
              <c16:uniqueId val="{00000001-C484-4667-B82F-AD56CDBD8C82}"/>
            </c:ext>
          </c:extLst>
        </c:ser>
        <c:ser>
          <c:idx val="2"/>
          <c:order val="2"/>
          <c:tx>
            <c:strRef>
              <c:f>Sheet15!$D$23:$D$24</c:f>
              <c:strCache>
                <c:ptCount val="1"/>
                <c:pt idx="0">
                  <c:v>Dr Reddy</c:v>
                </c:pt>
              </c:strCache>
            </c:strRef>
          </c:tx>
          <c:spPr>
            <a:solidFill>
              <a:schemeClr val="accent3"/>
            </a:solidFill>
            <a:ln>
              <a:noFill/>
            </a:ln>
            <a:effectLst/>
          </c:spPr>
          <c:invertIfNegative val="0"/>
          <c:cat>
            <c:strRef>
              <c:f>Sheet15!$A$25:$A$30</c:f>
              <c:strCache>
                <c:ptCount val="5"/>
                <c:pt idx="0">
                  <c:v>2021</c:v>
                </c:pt>
                <c:pt idx="1">
                  <c:v>2022</c:v>
                </c:pt>
                <c:pt idx="2">
                  <c:v>2023</c:v>
                </c:pt>
                <c:pt idx="3">
                  <c:v>2024</c:v>
                </c:pt>
                <c:pt idx="4">
                  <c:v>2025</c:v>
                </c:pt>
              </c:strCache>
            </c:strRef>
          </c:cat>
          <c:val>
            <c:numRef>
              <c:f>Sheet15!$D$25:$D$30</c:f>
              <c:numCache>
                <c:formatCode>General</c:formatCode>
                <c:ptCount val="5"/>
                <c:pt idx="0">
                  <c:v>84.32</c:v>
                </c:pt>
                <c:pt idx="1">
                  <c:v>80.95</c:v>
                </c:pt>
                <c:pt idx="2">
                  <c:v>284.38</c:v>
                </c:pt>
                <c:pt idx="3">
                  <c:v>311.41000000000003</c:v>
                </c:pt>
                <c:pt idx="4">
                  <c:v>76.3</c:v>
                </c:pt>
              </c:numCache>
            </c:numRef>
          </c:val>
          <c:extLst>
            <c:ext xmlns:c16="http://schemas.microsoft.com/office/drawing/2014/chart" uri="{C3380CC4-5D6E-409C-BE32-E72D297353CC}">
              <c16:uniqueId val="{00000002-C484-4667-B82F-AD56CDBD8C82}"/>
            </c:ext>
          </c:extLst>
        </c:ser>
        <c:ser>
          <c:idx val="3"/>
          <c:order val="3"/>
          <c:tx>
            <c:strRef>
              <c:f>Sheet15!$E$23:$E$24</c:f>
              <c:strCache>
                <c:ptCount val="1"/>
                <c:pt idx="0">
                  <c:v>Sun Pharma</c:v>
                </c:pt>
              </c:strCache>
            </c:strRef>
          </c:tx>
          <c:spPr>
            <a:solidFill>
              <a:schemeClr val="accent4"/>
            </a:solidFill>
            <a:ln>
              <a:noFill/>
            </a:ln>
            <a:effectLst/>
          </c:spPr>
          <c:invertIfNegative val="0"/>
          <c:cat>
            <c:strRef>
              <c:f>Sheet15!$A$25:$A$30</c:f>
              <c:strCache>
                <c:ptCount val="5"/>
                <c:pt idx="0">
                  <c:v>2021</c:v>
                </c:pt>
                <c:pt idx="1">
                  <c:v>2022</c:v>
                </c:pt>
                <c:pt idx="2">
                  <c:v>2023</c:v>
                </c:pt>
                <c:pt idx="3">
                  <c:v>2024</c:v>
                </c:pt>
                <c:pt idx="4">
                  <c:v>2025</c:v>
                </c:pt>
              </c:strCache>
            </c:strRef>
          </c:cat>
          <c:val>
            <c:numRef>
              <c:f>Sheet15!$E$25:$E$30</c:f>
              <c:numCache>
                <c:formatCode>General</c:formatCode>
                <c:ptCount val="5"/>
                <c:pt idx="0">
                  <c:v>0</c:v>
                </c:pt>
                <c:pt idx="1">
                  <c:v>145.61000000000001</c:v>
                </c:pt>
                <c:pt idx="2">
                  <c:v>65.63</c:v>
                </c:pt>
                <c:pt idx="3">
                  <c:v>353.89</c:v>
                </c:pt>
                <c:pt idx="4">
                  <c:v>4083.95</c:v>
                </c:pt>
              </c:numCache>
            </c:numRef>
          </c:val>
          <c:extLst>
            <c:ext xmlns:c16="http://schemas.microsoft.com/office/drawing/2014/chart" uri="{C3380CC4-5D6E-409C-BE32-E72D297353CC}">
              <c16:uniqueId val="{00000003-C484-4667-B82F-AD56CDBD8C82}"/>
            </c:ext>
          </c:extLst>
        </c:ser>
        <c:dLbls>
          <c:showLegendKey val="0"/>
          <c:showVal val="0"/>
          <c:showCatName val="0"/>
          <c:showSerName val="0"/>
          <c:showPercent val="0"/>
          <c:showBubbleSize val="0"/>
        </c:dLbls>
        <c:gapWidth val="219"/>
        <c:axId val="746312064"/>
        <c:axId val="746312544"/>
      </c:barChart>
      <c:catAx>
        <c:axId val="7463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12544"/>
        <c:crosses val="autoZero"/>
        <c:auto val="1"/>
        <c:lblAlgn val="ctr"/>
        <c:lblOffset val="100"/>
        <c:noMultiLvlLbl val="0"/>
      </c:catAx>
      <c:valAx>
        <c:axId val="74631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Sheet15!$B$33:$B$34</c:f>
              <c:strCache>
                <c:ptCount val="1"/>
                <c:pt idx="0">
                  <c:v>Cipla</c:v>
                </c:pt>
              </c:strCache>
            </c:strRef>
          </c:tx>
          <c:spPr>
            <a:solidFill>
              <a:schemeClr val="accent1"/>
            </a:solidFill>
            <a:ln>
              <a:noFill/>
            </a:ln>
            <a:effectLst/>
          </c:spPr>
          <c:invertIfNegative val="0"/>
          <c:cat>
            <c:strRef>
              <c:f>Sheet15!$A$35:$A$40</c:f>
              <c:strCache>
                <c:ptCount val="5"/>
                <c:pt idx="0">
                  <c:v>2021</c:v>
                </c:pt>
                <c:pt idx="1">
                  <c:v>2022</c:v>
                </c:pt>
                <c:pt idx="2">
                  <c:v>2023</c:v>
                </c:pt>
                <c:pt idx="3">
                  <c:v>2024</c:v>
                </c:pt>
                <c:pt idx="4">
                  <c:v>2025</c:v>
                </c:pt>
              </c:strCache>
            </c:strRef>
          </c:cat>
          <c:val>
            <c:numRef>
              <c:f>Sheet15!$B$35:$B$40</c:f>
              <c:numCache>
                <c:formatCode>0.00</c:formatCode>
                <c:ptCount val="5"/>
                <c:pt idx="0">
                  <c:v>1.4</c:v>
                </c:pt>
                <c:pt idx="1">
                  <c:v>1.48</c:v>
                </c:pt>
                <c:pt idx="2">
                  <c:v>1.63</c:v>
                </c:pt>
                <c:pt idx="3">
                  <c:v>1.97</c:v>
                </c:pt>
                <c:pt idx="4">
                  <c:v>1.82</c:v>
                </c:pt>
              </c:numCache>
            </c:numRef>
          </c:val>
          <c:extLst>
            <c:ext xmlns:c16="http://schemas.microsoft.com/office/drawing/2014/chart" uri="{C3380CC4-5D6E-409C-BE32-E72D297353CC}">
              <c16:uniqueId val="{00000000-F325-4CD3-A03B-189AA4B534D4}"/>
            </c:ext>
          </c:extLst>
        </c:ser>
        <c:ser>
          <c:idx val="1"/>
          <c:order val="1"/>
          <c:tx>
            <c:strRef>
              <c:f>Sheet15!$C$33:$C$34</c:f>
              <c:strCache>
                <c:ptCount val="1"/>
                <c:pt idx="0">
                  <c:v>Divis Lab</c:v>
                </c:pt>
              </c:strCache>
            </c:strRef>
          </c:tx>
          <c:spPr>
            <a:solidFill>
              <a:schemeClr val="accent2"/>
            </a:solidFill>
            <a:ln>
              <a:noFill/>
            </a:ln>
            <a:effectLst/>
          </c:spPr>
          <c:invertIfNegative val="0"/>
          <c:cat>
            <c:strRef>
              <c:f>Sheet15!$A$35:$A$40</c:f>
              <c:strCache>
                <c:ptCount val="5"/>
                <c:pt idx="0">
                  <c:v>2021</c:v>
                </c:pt>
                <c:pt idx="1">
                  <c:v>2022</c:v>
                </c:pt>
                <c:pt idx="2">
                  <c:v>2023</c:v>
                </c:pt>
                <c:pt idx="3">
                  <c:v>2024</c:v>
                </c:pt>
                <c:pt idx="4">
                  <c:v>2025</c:v>
                </c:pt>
              </c:strCache>
            </c:strRef>
          </c:cat>
          <c:val>
            <c:numRef>
              <c:f>Sheet15!$C$35:$C$40</c:f>
              <c:numCache>
                <c:formatCode>0.00</c:formatCode>
                <c:ptCount val="5"/>
                <c:pt idx="0">
                  <c:v>5.63</c:v>
                </c:pt>
                <c:pt idx="1">
                  <c:v>7.1</c:v>
                </c:pt>
                <c:pt idx="2">
                  <c:v>8.56</c:v>
                </c:pt>
                <c:pt idx="3">
                  <c:v>7.6</c:v>
                </c:pt>
                <c:pt idx="4">
                  <c:v>7.04</c:v>
                </c:pt>
              </c:numCache>
            </c:numRef>
          </c:val>
          <c:extLst>
            <c:ext xmlns:c16="http://schemas.microsoft.com/office/drawing/2014/chart" uri="{C3380CC4-5D6E-409C-BE32-E72D297353CC}">
              <c16:uniqueId val="{00000002-F325-4CD3-A03B-189AA4B534D4}"/>
            </c:ext>
          </c:extLst>
        </c:ser>
        <c:ser>
          <c:idx val="2"/>
          <c:order val="2"/>
          <c:tx>
            <c:strRef>
              <c:f>Sheet15!$D$33:$D$34</c:f>
              <c:strCache>
                <c:ptCount val="1"/>
                <c:pt idx="0">
                  <c:v>Dr Reddy</c:v>
                </c:pt>
              </c:strCache>
            </c:strRef>
          </c:tx>
          <c:spPr>
            <a:solidFill>
              <a:schemeClr val="accent3"/>
            </a:solidFill>
            <a:ln>
              <a:noFill/>
            </a:ln>
            <a:effectLst/>
          </c:spPr>
          <c:invertIfNegative val="0"/>
          <c:cat>
            <c:strRef>
              <c:f>Sheet15!$A$35:$A$40</c:f>
              <c:strCache>
                <c:ptCount val="5"/>
                <c:pt idx="0">
                  <c:v>2021</c:v>
                </c:pt>
                <c:pt idx="1">
                  <c:v>2022</c:v>
                </c:pt>
                <c:pt idx="2">
                  <c:v>2023</c:v>
                </c:pt>
                <c:pt idx="3">
                  <c:v>2024</c:v>
                </c:pt>
                <c:pt idx="4">
                  <c:v>2025</c:v>
                </c:pt>
              </c:strCache>
            </c:strRef>
          </c:cat>
          <c:val>
            <c:numRef>
              <c:f>Sheet15!$D$35:$D$40</c:f>
              <c:numCache>
                <c:formatCode>0.00</c:formatCode>
                <c:ptCount val="5"/>
                <c:pt idx="0">
                  <c:v>2.4</c:v>
                </c:pt>
                <c:pt idx="1">
                  <c:v>2.23</c:v>
                </c:pt>
                <c:pt idx="2">
                  <c:v>3.11</c:v>
                </c:pt>
                <c:pt idx="3">
                  <c:v>3.22</c:v>
                </c:pt>
                <c:pt idx="4">
                  <c:v>1.91</c:v>
                </c:pt>
              </c:numCache>
            </c:numRef>
          </c:val>
          <c:extLst>
            <c:ext xmlns:c16="http://schemas.microsoft.com/office/drawing/2014/chart" uri="{C3380CC4-5D6E-409C-BE32-E72D297353CC}">
              <c16:uniqueId val="{00000003-F325-4CD3-A03B-189AA4B534D4}"/>
            </c:ext>
          </c:extLst>
        </c:ser>
        <c:ser>
          <c:idx val="3"/>
          <c:order val="3"/>
          <c:tx>
            <c:strRef>
              <c:f>Sheet15!$E$33:$E$34</c:f>
              <c:strCache>
                <c:ptCount val="1"/>
                <c:pt idx="0">
                  <c:v>Sun Pharma</c:v>
                </c:pt>
              </c:strCache>
            </c:strRef>
          </c:tx>
          <c:spPr>
            <a:solidFill>
              <a:schemeClr val="accent4"/>
            </a:solidFill>
            <a:ln>
              <a:noFill/>
            </a:ln>
            <a:effectLst/>
          </c:spPr>
          <c:invertIfNegative val="0"/>
          <c:cat>
            <c:strRef>
              <c:f>Sheet15!$A$35:$A$40</c:f>
              <c:strCache>
                <c:ptCount val="5"/>
                <c:pt idx="0">
                  <c:v>2021</c:v>
                </c:pt>
                <c:pt idx="1">
                  <c:v>2022</c:v>
                </c:pt>
                <c:pt idx="2">
                  <c:v>2023</c:v>
                </c:pt>
                <c:pt idx="3">
                  <c:v>2024</c:v>
                </c:pt>
                <c:pt idx="4">
                  <c:v>2025</c:v>
                </c:pt>
              </c:strCache>
            </c:strRef>
          </c:cat>
          <c:val>
            <c:numRef>
              <c:f>Sheet15!$E$35:$E$40</c:f>
              <c:numCache>
                <c:formatCode>0.00</c:formatCode>
                <c:ptCount val="5"/>
                <c:pt idx="0">
                  <c:v>2.58</c:v>
                </c:pt>
                <c:pt idx="1">
                  <c:v>2.31</c:v>
                </c:pt>
                <c:pt idx="2">
                  <c:v>2.95</c:v>
                </c:pt>
                <c:pt idx="3">
                  <c:v>2.64</c:v>
                </c:pt>
                <c:pt idx="4">
                  <c:v>9.24</c:v>
                </c:pt>
              </c:numCache>
            </c:numRef>
          </c:val>
          <c:extLst>
            <c:ext xmlns:c16="http://schemas.microsoft.com/office/drawing/2014/chart" uri="{C3380CC4-5D6E-409C-BE32-E72D297353CC}">
              <c16:uniqueId val="{00000004-F325-4CD3-A03B-189AA4B534D4}"/>
            </c:ext>
          </c:extLst>
        </c:ser>
        <c:dLbls>
          <c:showLegendKey val="0"/>
          <c:showVal val="0"/>
          <c:showCatName val="0"/>
          <c:showSerName val="0"/>
          <c:showPercent val="0"/>
          <c:showBubbleSize val="0"/>
        </c:dLbls>
        <c:gapWidth val="219"/>
        <c:axId val="927782080"/>
        <c:axId val="927782560"/>
      </c:barChart>
      <c:catAx>
        <c:axId val="92778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82560"/>
        <c:crosses val="autoZero"/>
        <c:auto val="1"/>
        <c:lblAlgn val="ctr"/>
        <c:lblOffset val="100"/>
        <c:noMultiLvlLbl val="0"/>
      </c:catAx>
      <c:valAx>
        <c:axId val="927782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Sheet15!$B$3:$B$4</c:f>
              <c:strCache>
                <c:ptCount val="1"/>
                <c:pt idx="0">
                  <c:v>Cipla</c:v>
                </c:pt>
              </c:strCache>
            </c:strRef>
          </c:tx>
          <c:spPr>
            <a:ln w="28575" cap="rnd">
              <a:solidFill>
                <a:schemeClr val="accent1"/>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Sheet15!$B$5:$B$10</c:f>
              <c:numCache>
                <c:formatCode>General</c:formatCode>
                <c:ptCount val="5"/>
                <c:pt idx="0">
                  <c:v>0</c:v>
                </c:pt>
                <c:pt idx="1">
                  <c:v>119.77</c:v>
                </c:pt>
                <c:pt idx="2">
                  <c:v>18.28</c:v>
                </c:pt>
                <c:pt idx="3">
                  <c:v>5.31</c:v>
                </c:pt>
                <c:pt idx="4">
                  <c:v>16.89</c:v>
                </c:pt>
              </c:numCache>
            </c:numRef>
          </c:val>
          <c:smooth val="0"/>
          <c:extLst>
            <c:ext xmlns:c16="http://schemas.microsoft.com/office/drawing/2014/chart" uri="{C3380CC4-5D6E-409C-BE32-E72D297353CC}">
              <c16:uniqueId val="{00000000-53EC-426D-A6F0-28D9AE00164E}"/>
            </c:ext>
          </c:extLst>
        </c:ser>
        <c:ser>
          <c:idx val="1"/>
          <c:order val="1"/>
          <c:tx>
            <c:strRef>
              <c:f>Sheet15!$C$3:$C$4</c:f>
              <c:strCache>
                <c:ptCount val="1"/>
                <c:pt idx="0">
                  <c:v>Divis Lab</c:v>
                </c:pt>
              </c:strCache>
            </c:strRef>
          </c:tx>
          <c:spPr>
            <a:ln w="28575" cap="rnd">
              <a:solidFill>
                <a:schemeClr val="accent2"/>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Sheet15!$C$5:$C$10</c:f>
              <c:numCache>
                <c:formatCode>General</c:formatCode>
                <c:ptCount val="5"/>
                <c:pt idx="0">
                  <c:v>0</c:v>
                </c:pt>
                <c:pt idx="1">
                  <c:v>30.61</c:v>
                </c:pt>
                <c:pt idx="2">
                  <c:v>-14.13</c:v>
                </c:pt>
                <c:pt idx="3">
                  <c:v>0.52</c:v>
                </c:pt>
                <c:pt idx="4">
                  <c:v>20</c:v>
                </c:pt>
              </c:numCache>
            </c:numRef>
          </c:val>
          <c:smooth val="0"/>
          <c:extLst>
            <c:ext xmlns:c16="http://schemas.microsoft.com/office/drawing/2014/chart" uri="{C3380CC4-5D6E-409C-BE32-E72D297353CC}">
              <c16:uniqueId val="{00000001-53EC-426D-A6F0-28D9AE00164E}"/>
            </c:ext>
          </c:extLst>
        </c:ser>
        <c:ser>
          <c:idx val="2"/>
          <c:order val="2"/>
          <c:tx>
            <c:strRef>
              <c:f>Sheet15!$D$3:$D$4</c:f>
              <c:strCache>
                <c:ptCount val="1"/>
                <c:pt idx="0">
                  <c:v>Dr Reddy</c:v>
                </c:pt>
              </c:strCache>
            </c:strRef>
          </c:tx>
          <c:spPr>
            <a:ln w="28575" cap="rnd">
              <a:solidFill>
                <a:schemeClr val="accent3"/>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Sheet15!$D$5:$D$10</c:f>
              <c:numCache>
                <c:formatCode>General</c:formatCode>
                <c:ptCount val="5"/>
                <c:pt idx="0">
                  <c:v>29.5</c:v>
                </c:pt>
                <c:pt idx="1">
                  <c:v>21.35</c:v>
                </c:pt>
                <c:pt idx="2">
                  <c:v>28.33</c:v>
                </c:pt>
                <c:pt idx="3">
                  <c:v>34.840000000000003</c:v>
                </c:pt>
                <c:pt idx="4">
                  <c:v>36.28</c:v>
                </c:pt>
              </c:numCache>
            </c:numRef>
          </c:val>
          <c:smooth val="0"/>
          <c:extLst>
            <c:ext xmlns:c16="http://schemas.microsoft.com/office/drawing/2014/chart" uri="{C3380CC4-5D6E-409C-BE32-E72D297353CC}">
              <c16:uniqueId val="{00000002-53EC-426D-A6F0-28D9AE00164E}"/>
            </c:ext>
          </c:extLst>
        </c:ser>
        <c:ser>
          <c:idx val="3"/>
          <c:order val="3"/>
          <c:tx>
            <c:strRef>
              <c:f>Sheet15!$E$3:$E$4</c:f>
              <c:strCache>
                <c:ptCount val="1"/>
                <c:pt idx="0">
                  <c:v>Sun Pharma</c:v>
                </c:pt>
              </c:strCache>
            </c:strRef>
          </c:tx>
          <c:spPr>
            <a:ln w="28575" cap="rnd">
              <a:solidFill>
                <a:schemeClr val="accent4"/>
              </a:solidFill>
              <a:round/>
            </a:ln>
            <a:effectLst/>
          </c:spPr>
          <c:marker>
            <c:symbol val="none"/>
          </c:marker>
          <c:cat>
            <c:strRef>
              <c:f>Sheet15!$A$5:$A$10</c:f>
              <c:strCache>
                <c:ptCount val="5"/>
                <c:pt idx="0">
                  <c:v>2021</c:v>
                </c:pt>
                <c:pt idx="1">
                  <c:v>2022</c:v>
                </c:pt>
                <c:pt idx="2">
                  <c:v>2023</c:v>
                </c:pt>
                <c:pt idx="3">
                  <c:v>2024</c:v>
                </c:pt>
                <c:pt idx="4">
                  <c:v>2025</c:v>
                </c:pt>
              </c:strCache>
            </c:strRef>
          </c:cat>
          <c:val>
            <c:numRef>
              <c:f>Sheet15!$E$5:$E$10</c:f>
              <c:numCache>
                <c:formatCode>General</c:formatCode>
                <c:ptCount val="5"/>
                <c:pt idx="0">
                  <c:v>0</c:v>
                </c:pt>
                <c:pt idx="1">
                  <c:v>27.22</c:v>
                </c:pt>
                <c:pt idx="2">
                  <c:v>13.89</c:v>
                </c:pt>
                <c:pt idx="3">
                  <c:v>14.13</c:v>
                </c:pt>
                <c:pt idx="4">
                  <c:v>5.14</c:v>
                </c:pt>
              </c:numCache>
            </c:numRef>
          </c:val>
          <c:smooth val="0"/>
          <c:extLst>
            <c:ext xmlns:c16="http://schemas.microsoft.com/office/drawing/2014/chart" uri="{C3380CC4-5D6E-409C-BE32-E72D297353CC}">
              <c16:uniqueId val="{00000003-53EC-426D-A6F0-28D9AE00164E}"/>
            </c:ext>
          </c:extLst>
        </c:ser>
        <c:dLbls>
          <c:showLegendKey val="0"/>
          <c:showVal val="0"/>
          <c:showCatName val="0"/>
          <c:showSerName val="0"/>
          <c:showPercent val="0"/>
          <c:showBubbleSize val="0"/>
        </c:dLbls>
        <c:smooth val="0"/>
        <c:axId val="746263104"/>
        <c:axId val="746255904"/>
      </c:lineChart>
      <c:catAx>
        <c:axId val="74626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55904"/>
        <c:crosses val="autoZero"/>
        <c:auto val="1"/>
        <c:lblAlgn val="ctr"/>
        <c:lblOffset val="100"/>
        <c:noMultiLvlLbl val="0"/>
      </c:catAx>
      <c:valAx>
        <c:axId val="7462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6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Sheet15!$B$13:$B$14</c:f>
              <c:strCache>
                <c:ptCount val="1"/>
                <c:pt idx="0">
                  <c:v>Cipla</c:v>
                </c:pt>
              </c:strCache>
            </c:strRef>
          </c:tx>
          <c:spPr>
            <a:solidFill>
              <a:schemeClr val="accent1"/>
            </a:solidFill>
            <a:ln>
              <a:noFill/>
            </a:ln>
            <a:effectLst/>
          </c:spPr>
          <c:invertIfNegative val="0"/>
          <c:cat>
            <c:strRef>
              <c:f>Sheet15!$A$15:$A$20</c:f>
              <c:strCache>
                <c:ptCount val="5"/>
                <c:pt idx="0">
                  <c:v>2021</c:v>
                </c:pt>
                <c:pt idx="1">
                  <c:v>2022</c:v>
                </c:pt>
                <c:pt idx="2">
                  <c:v>2023</c:v>
                </c:pt>
                <c:pt idx="3">
                  <c:v>2024</c:v>
                </c:pt>
                <c:pt idx="4">
                  <c:v>2025</c:v>
                </c:pt>
              </c:strCache>
            </c:strRef>
          </c:cat>
          <c:val>
            <c:numRef>
              <c:f>Sheet15!$B$15:$B$20</c:f>
              <c:numCache>
                <c:formatCode>0.00\%</c:formatCode>
                <c:ptCount val="5"/>
                <c:pt idx="0">
                  <c:v>-19.079999999999998</c:v>
                </c:pt>
                <c:pt idx="1">
                  <c:v>7.57</c:v>
                </c:pt>
                <c:pt idx="2">
                  <c:v>13.07</c:v>
                </c:pt>
                <c:pt idx="3">
                  <c:v>13.03</c:v>
                </c:pt>
                <c:pt idx="4">
                  <c:v>15.19</c:v>
                </c:pt>
              </c:numCache>
            </c:numRef>
          </c:val>
          <c:extLst>
            <c:ext xmlns:c16="http://schemas.microsoft.com/office/drawing/2014/chart" uri="{C3380CC4-5D6E-409C-BE32-E72D297353CC}">
              <c16:uniqueId val="{00000000-1781-4DFD-884B-327EE33413D1}"/>
            </c:ext>
          </c:extLst>
        </c:ser>
        <c:ser>
          <c:idx val="1"/>
          <c:order val="1"/>
          <c:tx>
            <c:strRef>
              <c:f>Sheet15!$C$13:$C$14</c:f>
              <c:strCache>
                <c:ptCount val="1"/>
                <c:pt idx="0">
                  <c:v>Divis Lab</c:v>
                </c:pt>
              </c:strCache>
            </c:strRef>
          </c:tx>
          <c:spPr>
            <a:solidFill>
              <a:schemeClr val="accent2"/>
            </a:solidFill>
            <a:ln>
              <a:noFill/>
            </a:ln>
            <a:effectLst/>
          </c:spPr>
          <c:invertIfNegative val="0"/>
          <c:cat>
            <c:strRef>
              <c:f>Sheet15!$A$15:$A$20</c:f>
              <c:strCache>
                <c:ptCount val="5"/>
                <c:pt idx="0">
                  <c:v>2021</c:v>
                </c:pt>
                <c:pt idx="1">
                  <c:v>2022</c:v>
                </c:pt>
                <c:pt idx="2">
                  <c:v>2023</c:v>
                </c:pt>
                <c:pt idx="3">
                  <c:v>2024</c:v>
                </c:pt>
                <c:pt idx="4">
                  <c:v>2025</c:v>
                </c:pt>
              </c:strCache>
            </c:strRef>
          </c:cat>
          <c:val>
            <c:numRef>
              <c:f>Sheet15!$C$15:$C$20</c:f>
              <c:numCache>
                <c:formatCode>0.00\%</c:formatCode>
                <c:ptCount val="5"/>
                <c:pt idx="0">
                  <c:v>46.17</c:v>
                </c:pt>
                <c:pt idx="1">
                  <c:v>48.42</c:v>
                </c:pt>
                <c:pt idx="2">
                  <c:v>39.869999999999997</c:v>
                </c:pt>
                <c:pt idx="3">
                  <c:v>37.68</c:v>
                </c:pt>
                <c:pt idx="4">
                  <c:v>40.58</c:v>
                </c:pt>
              </c:numCache>
            </c:numRef>
          </c:val>
          <c:extLst>
            <c:ext xmlns:c16="http://schemas.microsoft.com/office/drawing/2014/chart" uri="{C3380CC4-5D6E-409C-BE32-E72D297353CC}">
              <c16:uniqueId val="{00000001-1781-4DFD-884B-327EE33413D1}"/>
            </c:ext>
          </c:extLst>
        </c:ser>
        <c:ser>
          <c:idx val="2"/>
          <c:order val="2"/>
          <c:tx>
            <c:strRef>
              <c:f>Sheet15!$D$13:$D$14</c:f>
              <c:strCache>
                <c:ptCount val="1"/>
                <c:pt idx="0">
                  <c:v>Dr Reddy</c:v>
                </c:pt>
              </c:strCache>
            </c:strRef>
          </c:tx>
          <c:spPr>
            <a:solidFill>
              <a:schemeClr val="accent3"/>
            </a:solidFill>
            <a:ln>
              <a:noFill/>
            </a:ln>
            <a:effectLst/>
          </c:spPr>
          <c:invertIfNegative val="0"/>
          <c:cat>
            <c:strRef>
              <c:f>Sheet15!$A$15:$A$20</c:f>
              <c:strCache>
                <c:ptCount val="5"/>
                <c:pt idx="0">
                  <c:v>2021</c:v>
                </c:pt>
                <c:pt idx="1">
                  <c:v>2022</c:v>
                </c:pt>
                <c:pt idx="2">
                  <c:v>2023</c:v>
                </c:pt>
                <c:pt idx="3">
                  <c:v>2024</c:v>
                </c:pt>
                <c:pt idx="4">
                  <c:v>2025</c:v>
                </c:pt>
              </c:strCache>
            </c:strRef>
          </c:cat>
          <c:val>
            <c:numRef>
              <c:f>Sheet15!$D$15:$D$20</c:f>
              <c:numCache>
                <c:formatCode>0.00\%</c:formatCode>
                <c:ptCount val="5"/>
                <c:pt idx="0">
                  <c:v>16.38</c:v>
                </c:pt>
                <c:pt idx="1">
                  <c:v>11.27</c:v>
                </c:pt>
                <c:pt idx="2">
                  <c:v>15.4</c:v>
                </c:pt>
                <c:pt idx="3">
                  <c:v>22.29</c:v>
                </c:pt>
                <c:pt idx="4">
                  <c:v>23.14</c:v>
                </c:pt>
              </c:numCache>
            </c:numRef>
          </c:val>
          <c:extLst>
            <c:ext xmlns:c16="http://schemas.microsoft.com/office/drawing/2014/chart" uri="{C3380CC4-5D6E-409C-BE32-E72D297353CC}">
              <c16:uniqueId val="{00000002-1781-4DFD-884B-327EE33413D1}"/>
            </c:ext>
          </c:extLst>
        </c:ser>
        <c:ser>
          <c:idx val="3"/>
          <c:order val="3"/>
          <c:tx>
            <c:strRef>
              <c:f>Sheet15!$E$13:$E$14</c:f>
              <c:strCache>
                <c:ptCount val="1"/>
                <c:pt idx="0">
                  <c:v>Sun Pharma</c:v>
                </c:pt>
              </c:strCache>
            </c:strRef>
          </c:tx>
          <c:spPr>
            <a:solidFill>
              <a:schemeClr val="accent4"/>
            </a:solidFill>
            <a:ln>
              <a:noFill/>
            </a:ln>
            <a:effectLst/>
          </c:spPr>
          <c:invertIfNegative val="0"/>
          <c:cat>
            <c:strRef>
              <c:f>Sheet15!$A$15:$A$20</c:f>
              <c:strCache>
                <c:ptCount val="5"/>
                <c:pt idx="0">
                  <c:v>2021</c:v>
                </c:pt>
                <c:pt idx="1">
                  <c:v>2022</c:v>
                </c:pt>
                <c:pt idx="2">
                  <c:v>2023</c:v>
                </c:pt>
                <c:pt idx="3">
                  <c:v>2024</c:v>
                </c:pt>
                <c:pt idx="4">
                  <c:v>2025</c:v>
                </c:pt>
              </c:strCache>
            </c:strRef>
          </c:cat>
          <c:val>
            <c:numRef>
              <c:f>Sheet15!$E$15:$E$20</c:f>
              <c:numCache>
                <c:formatCode>0.00\%</c:formatCode>
                <c:ptCount val="5"/>
                <c:pt idx="0">
                  <c:v>56.66</c:v>
                </c:pt>
                <c:pt idx="1">
                  <c:v>59.45</c:v>
                </c:pt>
                <c:pt idx="2">
                  <c:v>11.23</c:v>
                </c:pt>
                <c:pt idx="3">
                  <c:v>63.17</c:v>
                </c:pt>
                <c:pt idx="4">
                  <c:v>67.94</c:v>
                </c:pt>
              </c:numCache>
            </c:numRef>
          </c:val>
          <c:extLst>
            <c:ext xmlns:c16="http://schemas.microsoft.com/office/drawing/2014/chart" uri="{C3380CC4-5D6E-409C-BE32-E72D297353CC}">
              <c16:uniqueId val="{00000003-1781-4DFD-884B-327EE33413D1}"/>
            </c:ext>
          </c:extLst>
        </c:ser>
        <c:dLbls>
          <c:showLegendKey val="0"/>
          <c:showVal val="0"/>
          <c:showCatName val="0"/>
          <c:showSerName val="0"/>
          <c:showPercent val="0"/>
          <c:showBubbleSize val="0"/>
        </c:dLbls>
        <c:gapWidth val="219"/>
        <c:overlap val="-27"/>
        <c:axId val="746282784"/>
        <c:axId val="746281824"/>
      </c:barChart>
      <c:catAx>
        <c:axId val="7462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81824"/>
        <c:crosses val="autoZero"/>
        <c:auto val="1"/>
        <c:lblAlgn val="ctr"/>
        <c:lblOffset val="100"/>
        <c:noMultiLvlLbl val="0"/>
      </c:catAx>
      <c:valAx>
        <c:axId val="74628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Sheet15!$B$23:$B$24</c:f>
              <c:strCache>
                <c:ptCount val="1"/>
                <c:pt idx="0">
                  <c:v>Cipla</c:v>
                </c:pt>
              </c:strCache>
            </c:strRef>
          </c:tx>
          <c:spPr>
            <a:solidFill>
              <a:schemeClr val="accent1"/>
            </a:solidFill>
            <a:ln>
              <a:noFill/>
            </a:ln>
            <a:effectLst/>
          </c:spPr>
          <c:invertIfNegative val="0"/>
          <c:cat>
            <c:strRef>
              <c:f>Sheet15!$A$25:$A$30</c:f>
              <c:strCache>
                <c:ptCount val="5"/>
                <c:pt idx="0">
                  <c:v>2021</c:v>
                </c:pt>
                <c:pt idx="1">
                  <c:v>2022</c:v>
                </c:pt>
                <c:pt idx="2">
                  <c:v>2023</c:v>
                </c:pt>
                <c:pt idx="3">
                  <c:v>2024</c:v>
                </c:pt>
                <c:pt idx="4">
                  <c:v>2025</c:v>
                </c:pt>
              </c:strCache>
            </c:strRef>
          </c:cat>
          <c:val>
            <c:numRef>
              <c:f>Sheet15!$B$25:$B$30</c:f>
              <c:numCache>
                <c:formatCode>General</c:formatCode>
                <c:ptCount val="5"/>
                <c:pt idx="0">
                  <c:v>-191.76</c:v>
                </c:pt>
                <c:pt idx="1">
                  <c:v>141.09</c:v>
                </c:pt>
                <c:pt idx="2">
                  <c:v>16.5</c:v>
                </c:pt>
                <c:pt idx="3">
                  <c:v>18.14</c:v>
                </c:pt>
                <c:pt idx="4">
                  <c:v>59.86</c:v>
                </c:pt>
              </c:numCache>
            </c:numRef>
          </c:val>
          <c:extLst>
            <c:ext xmlns:c16="http://schemas.microsoft.com/office/drawing/2014/chart" uri="{C3380CC4-5D6E-409C-BE32-E72D297353CC}">
              <c16:uniqueId val="{00000000-E110-475B-9EE0-C0AAC0031B40}"/>
            </c:ext>
          </c:extLst>
        </c:ser>
        <c:ser>
          <c:idx val="1"/>
          <c:order val="1"/>
          <c:tx>
            <c:strRef>
              <c:f>Sheet15!$C$23:$C$24</c:f>
              <c:strCache>
                <c:ptCount val="1"/>
                <c:pt idx="0">
                  <c:v>Divis Lab</c:v>
                </c:pt>
              </c:strCache>
            </c:strRef>
          </c:tx>
          <c:spPr>
            <a:solidFill>
              <a:schemeClr val="accent2"/>
            </a:solidFill>
            <a:ln>
              <a:noFill/>
            </a:ln>
            <a:effectLst/>
          </c:spPr>
          <c:invertIfNegative val="0"/>
          <c:cat>
            <c:strRef>
              <c:f>Sheet15!$A$25:$A$30</c:f>
              <c:strCache>
                <c:ptCount val="5"/>
                <c:pt idx="0">
                  <c:v>2021</c:v>
                </c:pt>
                <c:pt idx="1">
                  <c:v>2022</c:v>
                </c:pt>
                <c:pt idx="2">
                  <c:v>2023</c:v>
                </c:pt>
                <c:pt idx="3">
                  <c:v>2024</c:v>
                </c:pt>
                <c:pt idx="4">
                  <c:v>2025</c:v>
                </c:pt>
              </c:strCache>
            </c:strRef>
          </c:cat>
          <c:val>
            <c:numRef>
              <c:f>Sheet15!$C$25:$C$30</c:f>
              <c:numCache>
                <c:formatCode>General</c:formatCode>
                <c:ptCount val="5"/>
                <c:pt idx="0">
                  <c:v>1734.24</c:v>
                </c:pt>
                <c:pt idx="1">
                  <c:v>2485.17</c:v>
                </c:pt>
                <c:pt idx="2">
                  <c:v>1520</c:v>
                </c:pt>
                <c:pt idx="3">
                  <c:v>722</c:v>
                </c:pt>
                <c:pt idx="4">
                  <c:v>1866.5</c:v>
                </c:pt>
              </c:numCache>
            </c:numRef>
          </c:val>
          <c:extLst>
            <c:ext xmlns:c16="http://schemas.microsoft.com/office/drawing/2014/chart" uri="{C3380CC4-5D6E-409C-BE32-E72D297353CC}">
              <c16:uniqueId val="{00000001-E110-475B-9EE0-C0AAC0031B40}"/>
            </c:ext>
          </c:extLst>
        </c:ser>
        <c:ser>
          <c:idx val="2"/>
          <c:order val="2"/>
          <c:tx>
            <c:strRef>
              <c:f>Sheet15!$D$23:$D$24</c:f>
              <c:strCache>
                <c:ptCount val="1"/>
                <c:pt idx="0">
                  <c:v>Dr Reddy</c:v>
                </c:pt>
              </c:strCache>
            </c:strRef>
          </c:tx>
          <c:spPr>
            <a:solidFill>
              <a:schemeClr val="accent3"/>
            </a:solidFill>
            <a:ln>
              <a:noFill/>
            </a:ln>
            <a:effectLst/>
          </c:spPr>
          <c:invertIfNegative val="0"/>
          <c:cat>
            <c:strRef>
              <c:f>Sheet15!$A$25:$A$30</c:f>
              <c:strCache>
                <c:ptCount val="5"/>
                <c:pt idx="0">
                  <c:v>2021</c:v>
                </c:pt>
                <c:pt idx="1">
                  <c:v>2022</c:v>
                </c:pt>
                <c:pt idx="2">
                  <c:v>2023</c:v>
                </c:pt>
                <c:pt idx="3">
                  <c:v>2024</c:v>
                </c:pt>
                <c:pt idx="4">
                  <c:v>2025</c:v>
                </c:pt>
              </c:strCache>
            </c:strRef>
          </c:cat>
          <c:val>
            <c:numRef>
              <c:f>Sheet15!$D$25:$D$30</c:f>
              <c:numCache>
                <c:formatCode>General</c:formatCode>
                <c:ptCount val="5"/>
                <c:pt idx="0">
                  <c:v>84.32</c:v>
                </c:pt>
                <c:pt idx="1">
                  <c:v>80.95</c:v>
                </c:pt>
                <c:pt idx="2">
                  <c:v>284.38</c:v>
                </c:pt>
                <c:pt idx="3">
                  <c:v>311.41000000000003</c:v>
                </c:pt>
                <c:pt idx="4">
                  <c:v>76.3</c:v>
                </c:pt>
              </c:numCache>
            </c:numRef>
          </c:val>
          <c:extLst>
            <c:ext xmlns:c16="http://schemas.microsoft.com/office/drawing/2014/chart" uri="{C3380CC4-5D6E-409C-BE32-E72D297353CC}">
              <c16:uniqueId val="{00000002-E110-475B-9EE0-C0AAC0031B40}"/>
            </c:ext>
          </c:extLst>
        </c:ser>
        <c:ser>
          <c:idx val="3"/>
          <c:order val="3"/>
          <c:tx>
            <c:strRef>
              <c:f>Sheet15!$E$23:$E$24</c:f>
              <c:strCache>
                <c:ptCount val="1"/>
                <c:pt idx="0">
                  <c:v>Sun Pharma</c:v>
                </c:pt>
              </c:strCache>
            </c:strRef>
          </c:tx>
          <c:spPr>
            <a:solidFill>
              <a:schemeClr val="accent4"/>
            </a:solidFill>
            <a:ln>
              <a:noFill/>
            </a:ln>
            <a:effectLst/>
          </c:spPr>
          <c:invertIfNegative val="0"/>
          <c:cat>
            <c:strRef>
              <c:f>Sheet15!$A$25:$A$30</c:f>
              <c:strCache>
                <c:ptCount val="5"/>
                <c:pt idx="0">
                  <c:v>2021</c:v>
                </c:pt>
                <c:pt idx="1">
                  <c:v>2022</c:v>
                </c:pt>
                <c:pt idx="2">
                  <c:v>2023</c:v>
                </c:pt>
                <c:pt idx="3">
                  <c:v>2024</c:v>
                </c:pt>
                <c:pt idx="4">
                  <c:v>2025</c:v>
                </c:pt>
              </c:strCache>
            </c:strRef>
          </c:cat>
          <c:val>
            <c:numRef>
              <c:f>Sheet15!$E$25:$E$30</c:f>
              <c:numCache>
                <c:formatCode>General</c:formatCode>
                <c:ptCount val="5"/>
                <c:pt idx="0">
                  <c:v>0</c:v>
                </c:pt>
                <c:pt idx="1">
                  <c:v>145.61000000000001</c:v>
                </c:pt>
                <c:pt idx="2">
                  <c:v>65.63</c:v>
                </c:pt>
                <c:pt idx="3">
                  <c:v>353.89</c:v>
                </c:pt>
                <c:pt idx="4">
                  <c:v>4083.95</c:v>
                </c:pt>
              </c:numCache>
            </c:numRef>
          </c:val>
          <c:extLst>
            <c:ext xmlns:c16="http://schemas.microsoft.com/office/drawing/2014/chart" uri="{C3380CC4-5D6E-409C-BE32-E72D297353CC}">
              <c16:uniqueId val="{00000003-E110-475B-9EE0-C0AAC0031B40}"/>
            </c:ext>
          </c:extLst>
        </c:ser>
        <c:dLbls>
          <c:showLegendKey val="0"/>
          <c:showVal val="0"/>
          <c:showCatName val="0"/>
          <c:showSerName val="0"/>
          <c:showPercent val="0"/>
          <c:showBubbleSize val="0"/>
        </c:dLbls>
        <c:gapWidth val="219"/>
        <c:axId val="746312064"/>
        <c:axId val="746312544"/>
      </c:barChart>
      <c:catAx>
        <c:axId val="7463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12544"/>
        <c:crosses val="autoZero"/>
        <c:auto val="1"/>
        <c:lblAlgn val="ctr"/>
        <c:lblOffset val="100"/>
        <c:noMultiLvlLbl val="0"/>
      </c:catAx>
      <c:valAx>
        <c:axId val="74631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(1).xlsx]Sheet15!PivotTable13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Sheet15!$B$33:$B$34</c:f>
              <c:strCache>
                <c:ptCount val="1"/>
                <c:pt idx="0">
                  <c:v>Cipla</c:v>
                </c:pt>
              </c:strCache>
            </c:strRef>
          </c:tx>
          <c:spPr>
            <a:solidFill>
              <a:schemeClr val="accent1"/>
            </a:solidFill>
            <a:ln>
              <a:noFill/>
            </a:ln>
            <a:effectLst/>
          </c:spPr>
          <c:invertIfNegative val="0"/>
          <c:cat>
            <c:strRef>
              <c:f>Sheet15!$A$35:$A$40</c:f>
              <c:strCache>
                <c:ptCount val="5"/>
                <c:pt idx="0">
                  <c:v>2021</c:v>
                </c:pt>
                <c:pt idx="1">
                  <c:v>2022</c:v>
                </c:pt>
                <c:pt idx="2">
                  <c:v>2023</c:v>
                </c:pt>
                <c:pt idx="3">
                  <c:v>2024</c:v>
                </c:pt>
                <c:pt idx="4">
                  <c:v>2025</c:v>
                </c:pt>
              </c:strCache>
            </c:strRef>
          </c:cat>
          <c:val>
            <c:numRef>
              <c:f>Sheet15!$B$35:$B$40</c:f>
              <c:numCache>
                <c:formatCode>0.00</c:formatCode>
                <c:ptCount val="5"/>
                <c:pt idx="0">
                  <c:v>1.4</c:v>
                </c:pt>
                <c:pt idx="1">
                  <c:v>1.48</c:v>
                </c:pt>
                <c:pt idx="2">
                  <c:v>1.63</c:v>
                </c:pt>
                <c:pt idx="3">
                  <c:v>1.97</c:v>
                </c:pt>
                <c:pt idx="4">
                  <c:v>1.82</c:v>
                </c:pt>
              </c:numCache>
            </c:numRef>
          </c:val>
          <c:extLst>
            <c:ext xmlns:c16="http://schemas.microsoft.com/office/drawing/2014/chart" uri="{C3380CC4-5D6E-409C-BE32-E72D297353CC}">
              <c16:uniqueId val="{00000000-3012-4A11-A380-CCE408C288AD}"/>
            </c:ext>
          </c:extLst>
        </c:ser>
        <c:ser>
          <c:idx val="1"/>
          <c:order val="1"/>
          <c:tx>
            <c:strRef>
              <c:f>Sheet15!$C$33:$C$34</c:f>
              <c:strCache>
                <c:ptCount val="1"/>
                <c:pt idx="0">
                  <c:v>Divis Lab</c:v>
                </c:pt>
              </c:strCache>
            </c:strRef>
          </c:tx>
          <c:spPr>
            <a:solidFill>
              <a:schemeClr val="accent2"/>
            </a:solidFill>
            <a:ln>
              <a:noFill/>
            </a:ln>
            <a:effectLst/>
          </c:spPr>
          <c:invertIfNegative val="0"/>
          <c:cat>
            <c:strRef>
              <c:f>Sheet15!$A$35:$A$40</c:f>
              <c:strCache>
                <c:ptCount val="5"/>
                <c:pt idx="0">
                  <c:v>2021</c:v>
                </c:pt>
                <c:pt idx="1">
                  <c:v>2022</c:v>
                </c:pt>
                <c:pt idx="2">
                  <c:v>2023</c:v>
                </c:pt>
                <c:pt idx="3">
                  <c:v>2024</c:v>
                </c:pt>
                <c:pt idx="4">
                  <c:v>2025</c:v>
                </c:pt>
              </c:strCache>
            </c:strRef>
          </c:cat>
          <c:val>
            <c:numRef>
              <c:f>Sheet15!$C$35:$C$40</c:f>
              <c:numCache>
                <c:formatCode>0.00</c:formatCode>
                <c:ptCount val="5"/>
                <c:pt idx="0">
                  <c:v>5.63</c:v>
                </c:pt>
                <c:pt idx="1">
                  <c:v>7.1</c:v>
                </c:pt>
                <c:pt idx="2">
                  <c:v>8.56</c:v>
                </c:pt>
                <c:pt idx="3">
                  <c:v>7.6</c:v>
                </c:pt>
                <c:pt idx="4">
                  <c:v>7.04</c:v>
                </c:pt>
              </c:numCache>
            </c:numRef>
          </c:val>
          <c:extLst>
            <c:ext xmlns:c16="http://schemas.microsoft.com/office/drawing/2014/chart" uri="{C3380CC4-5D6E-409C-BE32-E72D297353CC}">
              <c16:uniqueId val="{00000001-3012-4A11-A380-CCE408C288AD}"/>
            </c:ext>
          </c:extLst>
        </c:ser>
        <c:ser>
          <c:idx val="2"/>
          <c:order val="2"/>
          <c:tx>
            <c:strRef>
              <c:f>Sheet15!$D$33:$D$34</c:f>
              <c:strCache>
                <c:ptCount val="1"/>
                <c:pt idx="0">
                  <c:v>Dr Reddy</c:v>
                </c:pt>
              </c:strCache>
            </c:strRef>
          </c:tx>
          <c:spPr>
            <a:solidFill>
              <a:schemeClr val="accent3"/>
            </a:solidFill>
            <a:ln>
              <a:noFill/>
            </a:ln>
            <a:effectLst/>
          </c:spPr>
          <c:invertIfNegative val="0"/>
          <c:cat>
            <c:strRef>
              <c:f>Sheet15!$A$35:$A$40</c:f>
              <c:strCache>
                <c:ptCount val="5"/>
                <c:pt idx="0">
                  <c:v>2021</c:v>
                </c:pt>
                <c:pt idx="1">
                  <c:v>2022</c:v>
                </c:pt>
                <c:pt idx="2">
                  <c:v>2023</c:v>
                </c:pt>
                <c:pt idx="3">
                  <c:v>2024</c:v>
                </c:pt>
                <c:pt idx="4">
                  <c:v>2025</c:v>
                </c:pt>
              </c:strCache>
            </c:strRef>
          </c:cat>
          <c:val>
            <c:numRef>
              <c:f>Sheet15!$D$35:$D$40</c:f>
              <c:numCache>
                <c:formatCode>0.00</c:formatCode>
                <c:ptCount val="5"/>
                <c:pt idx="0">
                  <c:v>2.4</c:v>
                </c:pt>
                <c:pt idx="1">
                  <c:v>2.23</c:v>
                </c:pt>
                <c:pt idx="2">
                  <c:v>3.11</c:v>
                </c:pt>
                <c:pt idx="3">
                  <c:v>3.22</c:v>
                </c:pt>
                <c:pt idx="4">
                  <c:v>1.91</c:v>
                </c:pt>
              </c:numCache>
            </c:numRef>
          </c:val>
          <c:extLst>
            <c:ext xmlns:c16="http://schemas.microsoft.com/office/drawing/2014/chart" uri="{C3380CC4-5D6E-409C-BE32-E72D297353CC}">
              <c16:uniqueId val="{00000002-3012-4A11-A380-CCE408C288AD}"/>
            </c:ext>
          </c:extLst>
        </c:ser>
        <c:ser>
          <c:idx val="3"/>
          <c:order val="3"/>
          <c:tx>
            <c:strRef>
              <c:f>Sheet15!$E$33:$E$34</c:f>
              <c:strCache>
                <c:ptCount val="1"/>
                <c:pt idx="0">
                  <c:v>Sun Pharma</c:v>
                </c:pt>
              </c:strCache>
            </c:strRef>
          </c:tx>
          <c:spPr>
            <a:solidFill>
              <a:schemeClr val="accent4"/>
            </a:solidFill>
            <a:ln>
              <a:noFill/>
            </a:ln>
            <a:effectLst/>
          </c:spPr>
          <c:invertIfNegative val="0"/>
          <c:cat>
            <c:strRef>
              <c:f>Sheet15!$A$35:$A$40</c:f>
              <c:strCache>
                <c:ptCount val="5"/>
                <c:pt idx="0">
                  <c:v>2021</c:v>
                </c:pt>
                <c:pt idx="1">
                  <c:v>2022</c:v>
                </c:pt>
                <c:pt idx="2">
                  <c:v>2023</c:v>
                </c:pt>
                <c:pt idx="3">
                  <c:v>2024</c:v>
                </c:pt>
                <c:pt idx="4">
                  <c:v>2025</c:v>
                </c:pt>
              </c:strCache>
            </c:strRef>
          </c:cat>
          <c:val>
            <c:numRef>
              <c:f>Sheet15!$E$35:$E$40</c:f>
              <c:numCache>
                <c:formatCode>0.00</c:formatCode>
                <c:ptCount val="5"/>
                <c:pt idx="0">
                  <c:v>2.58</c:v>
                </c:pt>
                <c:pt idx="1">
                  <c:v>2.31</c:v>
                </c:pt>
                <c:pt idx="2">
                  <c:v>2.95</c:v>
                </c:pt>
                <c:pt idx="3">
                  <c:v>2.64</c:v>
                </c:pt>
                <c:pt idx="4">
                  <c:v>9.24</c:v>
                </c:pt>
              </c:numCache>
            </c:numRef>
          </c:val>
          <c:extLst>
            <c:ext xmlns:c16="http://schemas.microsoft.com/office/drawing/2014/chart" uri="{C3380CC4-5D6E-409C-BE32-E72D297353CC}">
              <c16:uniqueId val="{00000003-3012-4A11-A380-CCE408C288AD}"/>
            </c:ext>
          </c:extLst>
        </c:ser>
        <c:dLbls>
          <c:showLegendKey val="0"/>
          <c:showVal val="0"/>
          <c:showCatName val="0"/>
          <c:showSerName val="0"/>
          <c:showPercent val="0"/>
          <c:showBubbleSize val="0"/>
        </c:dLbls>
        <c:gapWidth val="219"/>
        <c:axId val="927782080"/>
        <c:axId val="927782560"/>
      </c:barChart>
      <c:catAx>
        <c:axId val="92778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82560"/>
        <c:crosses val="autoZero"/>
        <c:auto val="1"/>
        <c:lblAlgn val="ctr"/>
        <c:lblOffset val="100"/>
        <c:noMultiLvlLbl val="0"/>
      </c:catAx>
      <c:valAx>
        <c:axId val="927782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(1).xlsx]Sheet7!PivotTable13</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59007806427634E-2"/>
          <c:y val="0.17602157528474077"/>
          <c:w val="0.6845660279589515"/>
          <c:h val="0.66630547328372947"/>
        </c:manualLayout>
      </c:layout>
      <c:lineChart>
        <c:grouping val="standard"/>
        <c:varyColors val="0"/>
        <c:ser>
          <c:idx val="0"/>
          <c:order val="0"/>
          <c:tx>
            <c:strRef>
              <c:f>Sheet7!$B$3:$B$4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Sheet7!$A$5:$A$10</c:f>
              <c:strCache>
                <c:ptCount val="5"/>
                <c:pt idx="0">
                  <c:v>2018</c:v>
                </c:pt>
                <c:pt idx="1">
                  <c:v>2019</c:v>
                </c:pt>
                <c:pt idx="2">
                  <c:v>2020</c:v>
                </c:pt>
                <c:pt idx="3">
                  <c:v>2021</c:v>
                </c:pt>
                <c:pt idx="4">
                  <c:v>2022</c:v>
                </c:pt>
              </c:strCache>
            </c:strRef>
          </c:cat>
          <c:val>
            <c:numRef>
              <c:f>Sheet7!$B$5:$B$10</c:f>
              <c:numCache>
                <c:formatCode>General</c:formatCode>
                <c:ptCount val="5"/>
                <c:pt idx="0">
                  <c:v>0.159</c:v>
                </c:pt>
                <c:pt idx="1">
                  <c:v>6.8699999999999997E-2</c:v>
                </c:pt>
                <c:pt idx="2">
                  <c:v>-0.12039999999999999</c:v>
                </c:pt>
                <c:pt idx="3">
                  <c:v>6.1100000000000002E-2</c:v>
                </c:pt>
                <c:pt idx="4">
                  <c:v>0.58430000000000004</c:v>
                </c:pt>
              </c:numCache>
            </c:numRef>
          </c:val>
          <c:smooth val="0"/>
          <c:extLst>
            <c:ext xmlns:c16="http://schemas.microsoft.com/office/drawing/2014/chart" uri="{C3380CC4-5D6E-409C-BE32-E72D297353CC}">
              <c16:uniqueId val="{00000000-3B38-4E1F-B4ED-9F04BFCA2FAB}"/>
            </c:ext>
          </c:extLst>
        </c:ser>
        <c:ser>
          <c:idx val="1"/>
          <c:order val="1"/>
          <c:tx>
            <c:strRef>
              <c:f>Sheet7!$C$3:$C$4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Sheet7!$A$5:$A$10</c:f>
              <c:strCache>
                <c:ptCount val="5"/>
                <c:pt idx="0">
                  <c:v>2018</c:v>
                </c:pt>
                <c:pt idx="1">
                  <c:v>2019</c:v>
                </c:pt>
                <c:pt idx="2">
                  <c:v>2020</c:v>
                </c:pt>
                <c:pt idx="3">
                  <c:v>2021</c:v>
                </c:pt>
                <c:pt idx="4">
                  <c:v>2022</c:v>
                </c:pt>
              </c:strCache>
            </c:strRef>
          </c:cat>
          <c:val>
            <c:numRef>
              <c:f>Sheet7!$C$5:$C$10</c:f>
              <c:numCache>
                <c:formatCode>General</c:formatCode>
                <c:ptCount val="5"/>
                <c:pt idx="0">
                  <c:v>0.23230000000000001</c:v>
                </c:pt>
                <c:pt idx="1">
                  <c:v>0.62409999999999999</c:v>
                </c:pt>
                <c:pt idx="2">
                  <c:v>-5.3699999999999998E-2</c:v>
                </c:pt>
                <c:pt idx="3">
                  <c:v>0.26989999999999997</c:v>
                </c:pt>
                <c:pt idx="4">
                  <c:v>0.48409999999999997</c:v>
                </c:pt>
              </c:numCache>
            </c:numRef>
          </c:val>
          <c:smooth val="0"/>
          <c:extLst>
            <c:ext xmlns:c16="http://schemas.microsoft.com/office/drawing/2014/chart" uri="{C3380CC4-5D6E-409C-BE32-E72D297353CC}">
              <c16:uniqueId val="{00000000-C5DC-4519-9C42-6F652B5AAF3D}"/>
            </c:ext>
          </c:extLst>
        </c:ser>
        <c:ser>
          <c:idx val="2"/>
          <c:order val="2"/>
          <c:tx>
            <c:strRef>
              <c:f>Sheet7!$D$3:$D$4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Sheet7!$A$5:$A$10</c:f>
              <c:strCache>
                <c:ptCount val="5"/>
                <c:pt idx="0">
                  <c:v>2018</c:v>
                </c:pt>
                <c:pt idx="1">
                  <c:v>2019</c:v>
                </c:pt>
                <c:pt idx="2">
                  <c:v>2020</c:v>
                </c:pt>
                <c:pt idx="3">
                  <c:v>2021</c:v>
                </c:pt>
                <c:pt idx="4">
                  <c:v>2022</c:v>
                </c:pt>
              </c:strCache>
            </c:strRef>
          </c:cat>
          <c:val>
            <c:numRef>
              <c:f>Sheet7!$D$5:$D$10</c:f>
              <c:numCache>
                <c:formatCode>General</c:formatCode>
                <c:ptCount val="5"/>
                <c:pt idx="0">
                  <c:v>0.27110000000000001</c:v>
                </c:pt>
                <c:pt idx="1">
                  <c:v>0.1613</c:v>
                </c:pt>
                <c:pt idx="2">
                  <c:v>-0.16750000000000001</c:v>
                </c:pt>
                <c:pt idx="3">
                  <c:v>0.10059999999999999</c:v>
                </c:pt>
                <c:pt idx="4">
                  <c:v>0.68</c:v>
                </c:pt>
              </c:numCache>
            </c:numRef>
          </c:val>
          <c:smooth val="0"/>
          <c:extLst>
            <c:ext xmlns:c16="http://schemas.microsoft.com/office/drawing/2014/chart" uri="{C3380CC4-5D6E-409C-BE32-E72D297353CC}">
              <c16:uniqueId val="{00000001-C5DC-4519-9C42-6F652B5AAF3D}"/>
            </c:ext>
          </c:extLst>
        </c:ser>
        <c:ser>
          <c:idx val="3"/>
          <c:order val="3"/>
          <c:tx>
            <c:strRef>
              <c:f>Sheet7!$E$3:$E$4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Sheet7!$A$5:$A$10</c:f>
              <c:strCache>
                <c:ptCount val="5"/>
                <c:pt idx="0">
                  <c:v>2018</c:v>
                </c:pt>
                <c:pt idx="1">
                  <c:v>2019</c:v>
                </c:pt>
                <c:pt idx="2">
                  <c:v>2020</c:v>
                </c:pt>
                <c:pt idx="3">
                  <c:v>2021</c:v>
                </c:pt>
                <c:pt idx="4">
                  <c:v>2022</c:v>
                </c:pt>
              </c:strCache>
            </c:strRef>
          </c:cat>
          <c:val>
            <c:numRef>
              <c:f>Sheet7!$E$5:$E$10</c:f>
              <c:numCache>
                <c:formatCode>General</c:formatCode>
                <c:ptCount val="5"/>
                <c:pt idx="0">
                  <c:v>0.2422</c:v>
                </c:pt>
                <c:pt idx="1">
                  <c:v>0.18440000000000001</c:v>
                </c:pt>
                <c:pt idx="2">
                  <c:v>-0.14410000000000001</c:v>
                </c:pt>
                <c:pt idx="3">
                  <c:v>0.3921</c:v>
                </c:pt>
                <c:pt idx="4">
                  <c:v>0.53349999999999997</c:v>
                </c:pt>
              </c:numCache>
            </c:numRef>
          </c:val>
          <c:smooth val="0"/>
          <c:extLst>
            <c:ext xmlns:c16="http://schemas.microsoft.com/office/drawing/2014/chart" uri="{C3380CC4-5D6E-409C-BE32-E72D297353CC}">
              <c16:uniqueId val="{00000002-C5DC-4519-9C42-6F652B5AAF3D}"/>
            </c:ext>
          </c:extLst>
        </c:ser>
        <c:dLbls>
          <c:showLegendKey val="0"/>
          <c:showVal val="0"/>
          <c:showCatName val="0"/>
          <c:showSerName val="0"/>
          <c:showPercent val="0"/>
          <c:showBubbleSize val="0"/>
        </c:dLbls>
        <c:marker val="1"/>
        <c:smooth val="0"/>
        <c:axId val="377184575"/>
        <c:axId val="377197055"/>
      </c:lineChart>
      <c:catAx>
        <c:axId val="37718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97055"/>
        <c:crosses val="autoZero"/>
        <c:auto val="1"/>
        <c:lblAlgn val="ctr"/>
        <c:lblOffset val="100"/>
        <c:noMultiLvlLbl val="0"/>
      </c:catAx>
      <c:valAx>
        <c:axId val="377197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(1).xlsx]Sheet8!PivotTable14</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Sheet8!$A$5:$A$10</c:f>
              <c:strCache>
                <c:ptCount val="5"/>
                <c:pt idx="0">
                  <c:v>2018</c:v>
                </c:pt>
                <c:pt idx="1">
                  <c:v>2019</c:v>
                </c:pt>
                <c:pt idx="2">
                  <c:v>2020</c:v>
                </c:pt>
                <c:pt idx="3">
                  <c:v>2021</c:v>
                </c:pt>
                <c:pt idx="4">
                  <c:v>2022</c:v>
                </c:pt>
              </c:strCache>
            </c:strRef>
          </c:cat>
          <c:val>
            <c:numRef>
              <c:f>Sheet8!$B$5:$B$10</c:f>
              <c:numCache>
                <c:formatCode>0%</c:formatCode>
                <c:ptCount val="5"/>
                <c:pt idx="0">
                  <c:v>0.1087</c:v>
                </c:pt>
                <c:pt idx="1">
                  <c:v>8.77E-2</c:v>
                </c:pt>
                <c:pt idx="2">
                  <c:v>8.9300000000000004E-2</c:v>
                </c:pt>
                <c:pt idx="3">
                  <c:v>8.8800000000000004E-2</c:v>
                </c:pt>
                <c:pt idx="4">
                  <c:v>0.16289999999999999</c:v>
                </c:pt>
              </c:numCache>
            </c:numRef>
          </c:val>
          <c:smooth val="0"/>
          <c:extLst>
            <c:ext xmlns:c16="http://schemas.microsoft.com/office/drawing/2014/chart" uri="{C3380CC4-5D6E-409C-BE32-E72D297353CC}">
              <c16:uniqueId val="{00000000-CDFD-4779-B475-1DF9E15853BB}"/>
            </c:ext>
          </c:extLst>
        </c:ser>
        <c:ser>
          <c:idx val="1"/>
          <c:order val="1"/>
          <c:tx>
            <c:strRef>
              <c:f>Sheet8!$C$3:$C$4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Sheet8!$A$5:$A$10</c:f>
              <c:strCache>
                <c:ptCount val="5"/>
                <c:pt idx="0">
                  <c:v>2018</c:v>
                </c:pt>
                <c:pt idx="1">
                  <c:v>2019</c:v>
                </c:pt>
                <c:pt idx="2">
                  <c:v>2020</c:v>
                </c:pt>
                <c:pt idx="3">
                  <c:v>2021</c:v>
                </c:pt>
                <c:pt idx="4">
                  <c:v>2022</c:v>
                </c:pt>
              </c:strCache>
            </c:strRef>
          </c:cat>
          <c:val>
            <c:numRef>
              <c:f>Sheet8!$C$5:$C$10</c:f>
              <c:numCache>
                <c:formatCode>0%</c:formatCode>
                <c:ptCount val="5"/>
                <c:pt idx="0">
                  <c:v>0.17299999999999999</c:v>
                </c:pt>
                <c:pt idx="1">
                  <c:v>0.15140000000000001</c:v>
                </c:pt>
                <c:pt idx="2">
                  <c:v>0.15190000000000001</c:v>
                </c:pt>
                <c:pt idx="3">
                  <c:v>0.2742</c:v>
                </c:pt>
                <c:pt idx="4">
                  <c:v>0.1963</c:v>
                </c:pt>
              </c:numCache>
            </c:numRef>
          </c:val>
          <c:smooth val="0"/>
          <c:extLst>
            <c:ext xmlns:c16="http://schemas.microsoft.com/office/drawing/2014/chart" uri="{C3380CC4-5D6E-409C-BE32-E72D297353CC}">
              <c16:uniqueId val="{00000000-456F-4DB5-BDE4-F4AAADD2C907}"/>
            </c:ext>
          </c:extLst>
        </c:ser>
        <c:ser>
          <c:idx val="2"/>
          <c:order val="2"/>
          <c:tx>
            <c:strRef>
              <c:f>Sheet8!$D$3:$D$4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Sheet8!$A$5:$A$10</c:f>
              <c:strCache>
                <c:ptCount val="5"/>
                <c:pt idx="0">
                  <c:v>2018</c:v>
                </c:pt>
                <c:pt idx="1">
                  <c:v>2019</c:v>
                </c:pt>
                <c:pt idx="2">
                  <c:v>2020</c:v>
                </c:pt>
                <c:pt idx="3">
                  <c:v>2021</c:v>
                </c:pt>
                <c:pt idx="4">
                  <c:v>2022</c:v>
                </c:pt>
              </c:strCache>
            </c:strRef>
          </c:cat>
          <c:val>
            <c:numRef>
              <c:f>Sheet8!$D$5:$D$10</c:f>
              <c:numCache>
                <c:formatCode>0%</c:formatCode>
                <c:ptCount val="5"/>
                <c:pt idx="0">
                  <c:v>0.2029</c:v>
                </c:pt>
                <c:pt idx="1">
                  <c:v>0.23980000000000001</c:v>
                </c:pt>
                <c:pt idx="2">
                  <c:v>0.18970000000000001</c:v>
                </c:pt>
                <c:pt idx="3">
                  <c:v>0.2717</c:v>
                </c:pt>
                <c:pt idx="4">
                  <c:v>0.2646</c:v>
                </c:pt>
              </c:numCache>
            </c:numRef>
          </c:val>
          <c:smooth val="0"/>
          <c:extLst>
            <c:ext xmlns:c16="http://schemas.microsoft.com/office/drawing/2014/chart" uri="{C3380CC4-5D6E-409C-BE32-E72D297353CC}">
              <c16:uniqueId val="{00000001-456F-4DB5-BDE4-F4AAADD2C907}"/>
            </c:ext>
          </c:extLst>
        </c:ser>
        <c:ser>
          <c:idx val="3"/>
          <c:order val="3"/>
          <c:tx>
            <c:strRef>
              <c:f>Sheet8!$E$3:$E$4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Sheet8!$A$5:$A$10</c:f>
              <c:strCache>
                <c:ptCount val="5"/>
                <c:pt idx="0">
                  <c:v>2018</c:v>
                </c:pt>
                <c:pt idx="1">
                  <c:v>2019</c:v>
                </c:pt>
                <c:pt idx="2">
                  <c:v>2020</c:v>
                </c:pt>
                <c:pt idx="3">
                  <c:v>2021</c:v>
                </c:pt>
                <c:pt idx="4">
                  <c:v>2022</c:v>
                </c:pt>
              </c:strCache>
            </c:strRef>
          </c:cat>
          <c:val>
            <c:numRef>
              <c:f>Sheet8!$E$5:$E$10</c:f>
              <c:numCache>
                <c:formatCode>0%</c:formatCode>
                <c:ptCount val="5"/>
                <c:pt idx="0">
                  <c:v>0.25869999999999999</c:v>
                </c:pt>
                <c:pt idx="1">
                  <c:v>0.29120000000000001</c:v>
                </c:pt>
                <c:pt idx="2">
                  <c:v>0.24590000000000001</c:v>
                </c:pt>
                <c:pt idx="3">
                  <c:v>0.32240000000000002</c:v>
                </c:pt>
                <c:pt idx="4">
                  <c:v>0.39629999999999999</c:v>
                </c:pt>
              </c:numCache>
            </c:numRef>
          </c:val>
          <c:smooth val="0"/>
          <c:extLst>
            <c:ext xmlns:c16="http://schemas.microsoft.com/office/drawing/2014/chart" uri="{C3380CC4-5D6E-409C-BE32-E72D297353CC}">
              <c16:uniqueId val="{00000002-456F-4DB5-BDE4-F4AAADD2C907}"/>
            </c:ext>
          </c:extLst>
        </c:ser>
        <c:dLbls>
          <c:showLegendKey val="0"/>
          <c:showVal val="0"/>
          <c:showCatName val="0"/>
          <c:showSerName val="0"/>
          <c:showPercent val="0"/>
          <c:showBubbleSize val="0"/>
        </c:dLbls>
        <c:marker val="1"/>
        <c:smooth val="0"/>
        <c:axId val="377189567"/>
        <c:axId val="377195391"/>
      </c:lineChart>
      <c:catAx>
        <c:axId val="37718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95391"/>
        <c:crosses val="autoZero"/>
        <c:auto val="1"/>
        <c:lblAlgn val="ctr"/>
        <c:lblOffset val="100"/>
        <c:noMultiLvlLbl val="0"/>
      </c:catAx>
      <c:valAx>
        <c:axId val="377195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18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(1).xlsx]Sheet9!PivotTable15</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Sheet9!$A$5:$A$10</c:f>
              <c:strCache>
                <c:ptCount val="5"/>
                <c:pt idx="0">
                  <c:v>2018</c:v>
                </c:pt>
                <c:pt idx="1">
                  <c:v>2019</c:v>
                </c:pt>
                <c:pt idx="2">
                  <c:v>2020</c:v>
                </c:pt>
                <c:pt idx="3">
                  <c:v>2021</c:v>
                </c:pt>
                <c:pt idx="4">
                  <c:v>2022</c:v>
                </c:pt>
              </c:strCache>
            </c:strRef>
          </c:cat>
          <c:val>
            <c:numRef>
              <c:f>Sheet9!$B$5:$B$10</c:f>
              <c:numCache>
                <c:formatCode>0.00%</c:formatCode>
                <c:ptCount val="5"/>
                <c:pt idx="0">
                  <c:v>1.7299999999999999E-2</c:v>
                </c:pt>
                <c:pt idx="1">
                  <c:v>1.47E-2</c:v>
                </c:pt>
                <c:pt idx="2">
                  <c:v>7.7000000000000002E-3</c:v>
                </c:pt>
                <c:pt idx="3">
                  <c:v>1.12E-2</c:v>
                </c:pt>
                <c:pt idx="4">
                  <c:v>5.5500000000000001E-2</c:v>
                </c:pt>
              </c:numCache>
            </c:numRef>
          </c:val>
          <c:smooth val="0"/>
          <c:extLst>
            <c:ext xmlns:c16="http://schemas.microsoft.com/office/drawing/2014/chart" uri="{C3380CC4-5D6E-409C-BE32-E72D297353CC}">
              <c16:uniqueId val="{00000000-D829-4A0A-B31E-F0A55EE45DBF}"/>
            </c:ext>
          </c:extLst>
        </c:ser>
        <c:ser>
          <c:idx val="1"/>
          <c:order val="1"/>
          <c:tx>
            <c:strRef>
              <c:f>Sheet9!$C$3:$C$4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Sheet9!$A$5:$A$10</c:f>
              <c:strCache>
                <c:ptCount val="5"/>
                <c:pt idx="0">
                  <c:v>2018</c:v>
                </c:pt>
                <c:pt idx="1">
                  <c:v>2019</c:v>
                </c:pt>
                <c:pt idx="2">
                  <c:v>2020</c:v>
                </c:pt>
                <c:pt idx="3">
                  <c:v>2021</c:v>
                </c:pt>
                <c:pt idx="4">
                  <c:v>2022</c:v>
                </c:pt>
              </c:strCache>
            </c:strRef>
          </c:cat>
          <c:val>
            <c:numRef>
              <c:f>Sheet9!$C$5:$C$10</c:f>
              <c:numCache>
                <c:formatCode>0.00%</c:formatCode>
                <c:ptCount val="5"/>
                <c:pt idx="0">
                  <c:v>-6.0000000000000001E-3</c:v>
                </c:pt>
                <c:pt idx="1">
                  <c:v>-4.4999999999999997E-3</c:v>
                </c:pt>
                <c:pt idx="2">
                  <c:v>1.04E-2</c:v>
                </c:pt>
                <c:pt idx="3">
                  <c:v>0.10340000000000001</c:v>
                </c:pt>
                <c:pt idx="4">
                  <c:v>0.11020000000000001</c:v>
                </c:pt>
              </c:numCache>
            </c:numRef>
          </c:val>
          <c:smooth val="0"/>
          <c:extLst>
            <c:ext xmlns:c16="http://schemas.microsoft.com/office/drawing/2014/chart" uri="{C3380CC4-5D6E-409C-BE32-E72D297353CC}">
              <c16:uniqueId val="{00000000-1409-46DF-8B0A-668B7C809CD7}"/>
            </c:ext>
          </c:extLst>
        </c:ser>
        <c:ser>
          <c:idx val="2"/>
          <c:order val="2"/>
          <c:tx>
            <c:strRef>
              <c:f>Sheet9!$D$3:$D$4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Sheet9!$A$5:$A$10</c:f>
              <c:strCache>
                <c:ptCount val="5"/>
                <c:pt idx="0">
                  <c:v>2018</c:v>
                </c:pt>
                <c:pt idx="1">
                  <c:v>2019</c:v>
                </c:pt>
                <c:pt idx="2">
                  <c:v>2020</c:v>
                </c:pt>
                <c:pt idx="3">
                  <c:v>2021</c:v>
                </c:pt>
                <c:pt idx="4">
                  <c:v>2022</c:v>
                </c:pt>
              </c:strCache>
            </c:strRef>
          </c:cat>
          <c:val>
            <c:numRef>
              <c:f>Sheet9!$D$5:$D$10</c:f>
              <c:numCache>
                <c:formatCode>0.00%</c:formatCode>
                <c:ptCount val="5"/>
                <c:pt idx="0">
                  <c:v>5.3999999999999999E-2</c:v>
                </c:pt>
                <c:pt idx="1">
                  <c:v>7.5499999999999998E-2</c:v>
                </c:pt>
                <c:pt idx="2">
                  <c:v>4.3299999999999998E-2</c:v>
                </c:pt>
                <c:pt idx="3">
                  <c:v>6.2899999999999998E-2</c:v>
                </c:pt>
                <c:pt idx="4">
                  <c:v>0.10249999999999999</c:v>
                </c:pt>
              </c:numCache>
            </c:numRef>
          </c:val>
          <c:smooth val="0"/>
          <c:extLst>
            <c:ext xmlns:c16="http://schemas.microsoft.com/office/drawing/2014/chart" uri="{C3380CC4-5D6E-409C-BE32-E72D297353CC}">
              <c16:uniqueId val="{00000001-1409-46DF-8B0A-668B7C809CD7}"/>
            </c:ext>
          </c:extLst>
        </c:ser>
        <c:ser>
          <c:idx val="3"/>
          <c:order val="3"/>
          <c:tx>
            <c:strRef>
              <c:f>Sheet9!$E$3:$E$4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Sheet9!$A$5:$A$10</c:f>
              <c:strCache>
                <c:ptCount val="5"/>
                <c:pt idx="0">
                  <c:v>2018</c:v>
                </c:pt>
                <c:pt idx="1">
                  <c:v>2019</c:v>
                </c:pt>
                <c:pt idx="2">
                  <c:v>2020</c:v>
                </c:pt>
                <c:pt idx="3">
                  <c:v>2021</c:v>
                </c:pt>
                <c:pt idx="4">
                  <c:v>2022</c:v>
                </c:pt>
              </c:strCache>
            </c:strRef>
          </c:cat>
          <c:val>
            <c:numRef>
              <c:f>Sheet9!$E$5:$E$10</c:f>
              <c:numCache>
                <c:formatCode>0.00%</c:formatCode>
                <c:ptCount val="5"/>
                <c:pt idx="0">
                  <c:v>3.3300000000000003E-2</c:v>
                </c:pt>
                <c:pt idx="1">
                  <c:v>7.6600000000000001E-2</c:v>
                </c:pt>
                <c:pt idx="2">
                  <c:v>4.48E-2</c:v>
                </c:pt>
                <c:pt idx="3">
                  <c:v>9.4600000000000004E-2</c:v>
                </c:pt>
                <c:pt idx="4">
                  <c:v>0.1487</c:v>
                </c:pt>
              </c:numCache>
            </c:numRef>
          </c:val>
          <c:smooth val="0"/>
          <c:extLst>
            <c:ext xmlns:c16="http://schemas.microsoft.com/office/drawing/2014/chart" uri="{C3380CC4-5D6E-409C-BE32-E72D297353CC}">
              <c16:uniqueId val="{00000002-1409-46DF-8B0A-668B7C809CD7}"/>
            </c:ext>
          </c:extLst>
        </c:ser>
        <c:dLbls>
          <c:showLegendKey val="0"/>
          <c:showVal val="0"/>
          <c:showCatName val="0"/>
          <c:showSerName val="0"/>
          <c:showPercent val="0"/>
          <c:showBubbleSize val="0"/>
        </c:dLbls>
        <c:marker val="1"/>
        <c:smooth val="0"/>
        <c:axId val="377233247"/>
        <c:axId val="377234911"/>
      </c:lineChart>
      <c:catAx>
        <c:axId val="37723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34911"/>
        <c:crosses val="autoZero"/>
        <c:auto val="1"/>
        <c:lblAlgn val="ctr"/>
        <c:lblOffset val="100"/>
        <c:noMultiLvlLbl val="0"/>
      </c:catAx>
      <c:valAx>
        <c:axId val="377234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(1).xlsx]Sheet10!PivotTable16</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Sheet10!$A$5:$A$10</c:f>
              <c:strCache>
                <c:ptCount val="5"/>
                <c:pt idx="0">
                  <c:v>2018</c:v>
                </c:pt>
                <c:pt idx="1">
                  <c:v>2019</c:v>
                </c:pt>
                <c:pt idx="2">
                  <c:v>2020</c:v>
                </c:pt>
                <c:pt idx="3">
                  <c:v>2021</c:v>
                </c:pt>
                <c:pt idx="4">
                  <c:v>2022</c:v>
                </c:pt>
              </c:strCache>
            </c:strRef>
          </c:cat>
          <c:val>
            <c:numRef>
              <c:f>Sheet10!$B$5:$B$10</c:f>
              <c:numCache>
                <c:formatCode>0.00%</c:formatCode>
                <c:ptCount val="5"/>
                <c:pt idx="0">
                  <c:v>2.9000000000000001E-2</c:v>
                </c:pt>
                <c:pt idx="1">
                  <c:v>2.4799999999999999E-2</c:v>
                </c:pt>
                <c:pt idx="2">
                  <c:v>1.3599999999999999E-2</c:v>
                </c:pt>
                <c:pt idx="3">
                  <c:v>1.9800000000000002E-2</c:v>
                </c:pt>
                <c:pt idx="4">
                  <c:v>0.1011</c:v>
                </c:pt>
              </c:numCache>
            </c:numRef>
          </c:val>
          <c:smooth val="0"/>
          <c:extLst>
            <c:ext xmlns:c16="http://schemas.microsoft.com/office/drawing/2014/chart" uri="{C3380CC4-5D6E-409C-BE32-E72D297353CC}">
              <c16:uniqueId val="{00000000-D199-4EC9-899C-FBAD90B336D2}"/>
            </c:ext>
          </c:extLst>
        </c:ser>
        <c:ser>
          <c:idx val="1"/>
          <c:order val="1"/>
          <c:tx>
            <c:strRef>
              <c:f>Sheet10!$C$3:$C$4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Sheet10!$A$5:$A$10</c:f>
              <c:strCache>
                <c:ptCount val="5"/>
                <c:pt idx="0">
                  <c:v>2018</c:v>
                </c:pt>
                <c:pt idx="1">
                  <c:v>2019</c:v>
                </c:pt>
                <c:pt idx="2">
                  <c:v>2020</c:v>
                </c:pt>
                <c:pt idx="3">
                  <c:v>2021</c:v>
                </c:pt>
                <c:pt idx="4">
                  <c:v>2022</c:v>
                </c:pt>
              </c:strCache>
            </c:strRef>
          </c:cat>
          <c:val>
            <c:numRef>
              <c:f>Sheet10!$C$5:$C$10</c:f>
              <c:numCache>
                <c:formatCode>0.00%</c:formatCode>
                <c:ptCount val="5"/>
                <c:pt idx="0">
                  <c:v>-1.5800000000000002E-2</c:v>
                </c:pt>
                <c:pt idx="1">
                  <c:v>-1.1599999999999999E-2</c:v>
                </c:pt>
                <c:pt idx="2">
                  <c:v>2.5999999999999999E-2</c:v>
                </c:pt>
                <c:pt idx="3">
                  <c:v>0.21909999999999999</c:v>
                </c:pt>
                <c:pt idx="4">
                  <c:v>0.20519999999999999</c:v>
                </c:pt>
              </c:numCache>
            </c:numRef>
          </c:val>
          <c:smooth val="0"/>
          <c:extLst>
            <c:ext xmlns:c16="http://schemas.microsoft.com/office/drawing/2014/chart" uri="{C3380CC4-5D6E-409C-BE32-E72D297353CC}">
              <c16:uniqueId val="{00000000-D817-44CA-AA70-EBAB25CB2011}"/>
            </c:ext>
          </c:extLst>
        </c:ser>
        <c:ser>
          <c:idx val="2"/>
          <c:order val="2"/>
          <c:tx>
            <c:strRef>
              <c:f>Sheet10!$D$3:$D$4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Sheet10!$A$5:$A$10</c:f>
              <c:strCache>
                <c:ptCount val="5"/>
                <c:pt idx="0">
                  <c:v>2018</c:v>
                </c:pt>
                <c:pt idx="1">
                  <c:v>2019</c:v>
                </c:pt>
                <c:pt idx="2">
                  <c:v>2020</c:v>
                </c:pt>
                <c:pt idx="3">
                  <c:v>2021</c:v>
                </c:pt>
                <c:pt idx="4">
                  <c:v>2022</c:v>
                </c:pt>
              </c:strCache>
            </c:strRef>
          </c:cat>
          <c:val>
            <c:numRef>
              <c:f>Sheet10!$D$5:$D$10</c:f>
              <c:numCache>
                <c:formatCode>0.00%</c:formatCode>
                <c:ptCount val="5"/>
                <c:pt idx="0">
                  <c:v>0.16569999999999999</c:v>
                </c:pt>
                <c:pt idx="1">
                  <c:v>0.23269999999999999</c:v>
                </c:pt>
                <c:pt idx="2">
                  <c:v>0.13789999999999999</c:v>
                </c:pt>
                <c:pt idx="3">
                  <c:v>0.17860000000000001</c:v>
                </c:pt>
                <c:pt idx="4">
                  <c:v>0.26300000000000001</c:v>
                </c:pt>
              </c:numCache>
            </c:numRef>
          </c:val>
          <c:smooth val="0"/>
          <c:extLst>
            <c:ext xmlns:c16="http://schemas.microsoft.com/office/drawing/2014/chart" uri="{C3380CC4-5D6E-409C-BE32-E72D297353CC}">
              <c16:uniqueId val="{00000001-D817-44CA-AA70-EBAB25CB2011}"/>
            </c:ext>
          </c:extLst>
        </c:ser>
        <c:ser>
          <c:idx val="3"/>
          <c:order val="3"/>
          <c:tx>
            <c:strRef>
              <c:f>Sheet10!$E$3:$E$4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Sheet10!$A$5:$A$10</c:f>
              <c:strCache>
                <c:ptCount val="5"/>
                <c:pt idx="0">
                  <c:v>2018</c:v>
                </c:pt>
                <c:pt idx="1">
                  <c:v>2019</c:v>
                </c:pt>
                <c:pt idx="2">
                  <c:v>2020</c:v>
                </c:pt>
                <c:pt idx="3">
                  <c:v>2021</c:v>
                </c:pt>
                <c:pt idx="4">
                  <c:v>2022</c:v>
                </c:pt>
              </c:strCache>
            </c:strRef>
          </c:cat>
          <c:val>
            <c:numRef>
              <c:f>Sheet10!$E$5:$E$10</c:f>
              <c:numCache>
                <c:formatCode>0.00%</c:formatCode>
                <c:ptCount val="5"/>
                <c:pt idx="0">
                  <c:v>6.7699999999999996E-2</c:v>
                </c:pt>
                <c:pt idx="1">
                  <c:v>0.14949999999999999</c:v>
                </c:pt>
                <c:pt idx="2">
                  <c:v>9.0399999999999994E-2</c:v>
                </c:pt>
                <c:pt idx="3">
                  <c:v>0.18079999999999999</c:v>
                </c:pt>
                <c:pt idx="4">
                  <c:v>0.2631</c:v>
                </c:pt>
              </c:numCache>
            </c:numRef>
          </c:val>
          <c:smooth val="0"/>
          <c:extLst>
            <c:ext xmlns:c16="http://schemas.microsoft.com/office/drawing/2014/chart" uri="{C3380CC4-5D6E-409C-BE32-E72D297353CC}">
              <c16:uniqueId val="{00000002-D817-44CA-AA70-EBAB25CB2011}"/>
            </c:ext>
          </c:extLst>
        </c:ser>
        <c:dLbls>
          <c:showLegendKey val="0"/>
          <c:showVal val="0"/>
          <c:showCatName val="0"/>
          <c:showSerName val="0"/>
          <c:showPercent val="0"/>
          <c:showBubbleSize val="0"/>
        </c:dLbls>
        <c:marker val="1"/>
        <c:smooth val="0"/>
        <c:axId val="377229087"/>
        <c:axId val="377230751"/>
      </c:lineChart>
      <c:catAx>
        <c:axId val="377229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30751"/>
        <c:crosses val="autoZero"/>
        <c:auto val="1"/>
        <c:lblAlgn val="ctr"/>
        <c:lblOffset val="100"/>
        <c:noMultiLvlLbl val="0"/>
      </c:catAx>
      <c:valAx>
        <c:axId val="377230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722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(1).xlsx]Sheet11!PivotTable17</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Sheet11!$A$5:$A$10</c:f>
              <c:strCache>
                <c:ptCount val="5"/>
                <c:pt idx="0">
                  <c:v>2018</c:v>
                </c:pt>
                <c:pt idx="1">
                  <c:v>2019</c:v>
                </c:pt>
                <c:pt idx="2">
                  <c:v>2020</c:v>
                </c:pt>
                <c:pt idx="3">
                  <c:v>2021</c:v>
                </c:pt>
                <c:pt idx="4">
                  <c:v>2022</c:v>
                </c:pt>
              </c:strCache>
            </c:strRef>
          </c:cat>
          <c:val>
            <c:numRef>
              <c:f>Sheet11!$B$5:$B$10</c:f>
              <c:numCache>
                <c:formatCode>General</c:formatCode>
                <c:ptCount val="5"/>
                <c:pt idx="0">
                  <c:v>1.7</c:v>
                </c:pt>
                <c:pt idx="1">
                  <c:v>1.68</c:v>
                </c:pt>
                <c:pt idx="2">
                  <c:v>1.58</c:v>
                </c:pt>
                <c:pt idx="3">
                  <c:v>1.48</c:v>
                </c:pt>
                <c:pt idx="4">
                  <c:v>1.37</c:v>
                </c:pt>
              </c:numCache>
            </c:numRef>
          </c:val>
          <c:smooth val="0"/>
          <c:extLst>
            <c:ext xmlns:c16="http://schemas.microsoft.com/office/drawing/2014/chart" uri="{C3380CC4-5D6E-409C-BE32-E72D297353CC}">
              <c16:uniqueId val="{00000000-E3CB-4131-9C32-764CD9FD5A1D}"/>
            </c:ext>
          </c:extLst>
        </c:ser>
        <c:ser>
          <c:idx val="1"/>
          <c:order val="1"/>
          <c:tx>
            <c:strRef>
              <c:f>Sheet11!$C$3:$C$4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Sheet11!$A$5:$A$10</c:f>
              <c:strCache>
                <c:ptCount val="5"/>
                <c:pt idx="0">
                  <c:v>2018</c:v>
                </c:pt>
                <c:pt idx="1">
                  <c:v>2019</c:v>
                </c:pt>
                <c:pt idx="2">
                  <c:v>2020</c:v>
                </c:pt>
                <c:pt idx="3">
                  <c:v>2021</c:v>
                </c:pt>
                <c:pt idx="4">
                  <c:v>2022</c:v>
                </c:pt>
              </c:strCache>
            </c:strRef>
          </c:cat>
          <c:val>
            <c:numRef>
              <c:f>Sheet11!$C$5:$C$10</c:f>
              <c:numCache>
                <c:formatCode>General</c:formatCode>
                <c:ptCount val="5"/>
                <c:pt idx="0">
                  <c:v>0.62</c:v>
                </c:pt>
                <c:pt idx="1">
                  <c:v>0.57999999999999996</c:v>
                </c:pt>
                <c:pt idx="2">
                  <c:v>0.74</c:v>
                </c:pt>
                <c:pt idx="3">
                  <c:v>1.33</c:v>
                </c:pt>
                <c:pt idx="4">
                  <c:v>1.1200000000000001</c:v>
                </c:pt>
              </c:numCache>
            </c:numRef>
          </c:val>
          <c:smooth val="0"/>
          <c:extLst>
            <c:ext xmlns:c16="http://schemas.microsoft.com/office/drawing/2014/chart" uri="{C3380CC4-5D6E-409C-BE32-E72D297353CC}">
              <c16:uniqueId val="{00000000-B485-4CCC-A0EB-DF424AC6AA74}"/>
            </c:ext>
          </c:extLst>
        </c:ser>
        <c:ser>
          <c:idx val="2"/>
          <c:order val="2"/>
          <c:tx>
            <c:strRef>
              <c:f>Sheet11!$D$3:$D$4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Sheet11!$A$5:$A$10</c:f>
              <c:strCache>
                <c:ptCount val="5"/>
                <c:pt idx="0">
                  <c:v>2018</c:v>
                </c:pt>
                <c:pt idx="1">
                  <c:v>2019</c:v>
                </c:pt>
                <c:pt idx="2">
                  <c:v>2020</c:v>
                </c:pt>
                <c:pt idx="3">
                  <c:v>2021</c:v>
                </c:pt>
                <c:pt idx="4">
                  <c:v>2022</c:v>
                </c:pt>
              </c:strCache>
            </c:strRef>
          </c:cat>
          <c:val>
            <c:numRef>
              <c:f>Sheet11!$D$5:$D$10</c:f>
              <c:numCache>
                <c:formatCode>General</c:formatCode>
                <c:ptCount val="5"/>
                <c:pt idx="0">
                  <c:v>0.76</c:v>
                </c:pt>
                <c:pt idx="1">
                  <c:v>0.78</c:v>
                </c:pt>
                <c:pt idx="2">
                  <c:v>0.83</c:v>
                </c:pt>
                <c:pt idx="3">
                  <c:v>0.8</c:v>
                </c:pt>
                <c:pt idx="4">
                  <c:v>1.03</c:v>
                </c:pt>
              </c:numCache>
            </c:numRef>
          </c:val>
          <c:smooth val="0"/>
          <c:extLst>
            <c:ext xmlns:c16="http://schemas.microsoft.com/office/drawing/2014/chart" uri="{C3380CC4-5D6E-409C-BE32-E72D297353CC}">
              <c16:uniqueId val="{00000001-B485-4CCC-A0EB-DF424AC6AA74}"/>
            </c:ext>
          </c:extLst>
        </c:ser>
        <c:ser>
          <c:idx val="3"/>
          <c:order val="3"/>
          <c:tx>
            <c:strRef>
              <c:f>Sheet11!$E$3:$E$4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Sheet11!$A$5:$A$10</c:f>
              <c:strCache>
                <c:ptCount val="5"/>
                <c:pt idx="0">
                  <c:v>2018</c:v>
                </c:pt>
                <c:pt idx="1">
                  <c:v>2019</c:v>
                </c:pt>
                <c:pt idx="2">
                  <c:v>2020</c:v>
                </c:pt>
                <c:pt idx="3">
                  <c:v>2021</c:v>
                </c:pt>
                <c:pt idx="4">
                  <c:v>2022</c:v>
                </c:pt>
              </c:strCache>
            </c:strRef>
          </c:cat>
          <c:val>
            <c:numRef>
              <c:f>Sheet11!$E$5:$E$10</c:f>
              <c:numCache>
                <c:formatCode>General</c:formatCode>
                <c:ptCount val="5"/>
                <c:pt idx="0">
                  <c:v>1.35</c:v>
                </c:pt>
                <c:pt idx="1">
                  <c:v>0.67</c:v>
                </c:pt>
                <c:pt idx="2">
                  <c:v>0.65</c:v>
                </c:pt>
                <c:pt idx="3">
                  <c:v>0.97</c:v>
                </c:pt>
                <c:pt idx="4">
                  <c:v>0.57999999999999996</c:v>
                </c:pt>
              </c:numCache>
            </c:numRef>
          </c:val>
          <c:smooth val="0"/>
          <c:extLst>
            <c:ext xmlns:c16="http://schemas.microsoft.com/office/drawing/2014/chart" uri="{C3380CC4-5D6E-409C-BE32-E72D297353CC}">
              <c16:uniqueId val="{00000002-B485-4CCC-A0EB-DF424AC6AA74}"/>
            </c:ext>
          </c:extLst>
        </c:ser>
        <c:dLbls>
          <c:showLegendKey val="0"/>
          <c:showVal val="0"/>
          <c:showCatName val="0"/>
          <c:showSerName val="0"/>
          <c:showPercent val="0"/>
          <c:showBubbleSize val="0"/>
        </c:dLbls>
        <c:marker val="1"/>
        <c:smooth val="0"/>
        <c:axId val="122224671"/>
        <c:axId val="122247135"/>
      </c:lineChart>
      <c:catAx>
        <c:axId val="12222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47135"/>
        <c:crosses val="autoZero"/>
        <c:auto val="1"/>
        <c:lblAlgn val="ctr"/>
        <c:lblOffset val="100"/>
        <c:noMultiLvlLbl val="0"/>
      </c:catAx>
      <c:valAx>
        <c:axId val="12224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2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(1).xlsx]Sheet12!PivotTable18</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Sheet12!$A$5:$A$10</c:f>
              <c:strCache>
                <c:ptCount val="5"/>
                <c:pt idx="0">
                  <c:v>2018</c:v>
                </c:pt>
                <c:pt idx="1">
                  <c:v>2019</c:v>
                </c:pt>
                <c:pt idx="2">
                  <c:v>2020</c:v>
                </c:pt>
                <c:pt idx="3">
                  <c:v>2021</c:v>
                </c:pt>
                <c:pt idx="4">
                  <c:v>2022</c:v>
                </c:pt>
              </c:strCache>
            </c:strRef>
          </c:cat>
          <c:val>
            <c:numRef>
              <c:f>Sheet12!$B$5:$B$10</c:f>
              <c:numCache>
                <c:formatCode>General</c:formatCode>
                <c:ptCount val="5"/>
                <c:pt idx="0">
                  <c:v>0.41</c:v>
                </c:pt>
                <c:pt idx="1">
                  <c:v>0.4</c:v>
                </c:pt>
                <c:pt idx="2">
                  <c:v>0.51</c:v>
                </c:pt>
                <c:pt idx="3">
                  <c:v>0.39</c:v>
                </c:pt>
                <c:pt idx="4">
                  <c:v>0.35</c:v>
                </c:pt>
              </c:numCache>
            </c:numRef>
          </c:val>
          <c:smooth val="0"/>
          <c:extLst>
            <c:ext xmlns:c16="http://schemas.microsoft.com/office/drawing/2014/chart" uri="{C3380CC4-5D6E-409C-BE32-E72D297353CC}">
              <c16:uniqueId val="{00000000-130B-434A-A7BF-6225E86C3BC2}"/>
            </c:ext>
          </c:extLst>
        </c:ser>
        <c:ser>
          <c:idx val="1"/>
          <c:order val="1"/>
          <c:tx>
            <c:strRef>
              <c:f>Sheet12!$C$3:$C$4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Sheet12!$A$5:$A$10</c:f>
              <c:strCache>
                <c:ptCount val="5"/>
                <c:pt idx="0">
                  <c:v>2018</c:v>
                </c:pt>
                <c:pt idx="1">
                  <c:v>2019</c:v>
                </c:pt>
                <c:pt idx="2">
                  <c:v>2020</c:v>
                </c:pt>
                <c:pt idx="3">
                  <c:v>2021</c:v>
                </c:pt>
                <c:pt idx="4">
                  <c:v>2022</c:v>
                </c:pt>
              </c:strCache>
            </c:strRef>
          </c:cat>
          <c:val>
            <c:numRef>
              <c:f>Sheet12!$C$5:$C$10</c:f>
              <c:numCache>
                <c:formatCode>General</c:formatCode>
                <c:ptCount val="5"/>
                <c:pt idx="0">
                  <c:v>0.94</c:v>
                </c:pt>
                <c:pt idx="1">
                  <c:v>0.78</c:v>
                </c:pt>
                <c:pt idx="2">
                  <c:v>0.64</c:v>
                </c:pt>
                <c:pt idx="3">
                  <c:v>0.51</c:v>
                </c:pt>
                <c:pt idx="4">
                  <c:v>0.33</c:v>
                </c:pt>
              </c:numCache>
            </c:numRef>
          </c:val>
          <c:smooth val="0"/>
          <c:extLst>
            <c:ext xmlns:c16="http://schemas.microsoft.com/office/drawing/2014/chart" uri="{C3380CC4-5D6E-409C-BE32-E72D297353CC}">
              <c16:uniqueId val="{00000000-F610-4772-AA00-8A83BE270C1B}"/>
            </c:ext>
          </c:extLst>
        </c:ser>
        <c:ser>
          <c:idx val="2"/>
          <c:order val="2"/>
          <c:tx>
            <c:strRef>
              <c:f>Sheet12!$D$3:$D$4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Sheet12!$A$5:$A$10</c:f>
              <c:strCache>
                <c:ptCount val="5"/>
                <c:pt idx="0">
                  <c:v>2018</c:v>
                </c:pt>
                <c:pt idx="1">
                  <c:v>2019</c:v>
                </c:pt>
                <c:pt idx="2">
                  <c:v>2020</c:v>
                </c:pt>
                <c:pt idx="3">
                  <c:v>2021</c:v>
                </c:pt>
                <c:pt idx="4">
                  <c:v>2022</c:v>
                </c:pt>
              </c:strCache>
            </c:strRef>
          </c:cat>
          <c:val>
            <c:numRef>
              <c:f>Sheet12!$D$5:$D$10</c:f>
              <c:numCache>
                <c:formatCode>General</c:formatCode>
                <c:ptCount val="5"/>
                <c:pt idx="0">
                  <c:v>1.1399999999999999</c:v>
                </c:pt>
                <c:pt idx="1">
                  <c:v>0.94</c:v>
                </c:pt>
                <c:pt idx="2">
                  <c:v>1.2</c:v>
                </c:pt>
                <c:pt idx="3">
                  <c:v>0.87</c:v>
                </c:pt>
                <c:pt idx="4">
                  <c:v>0.79</c:v>
                </c:pt>
              </c:numCache>
            </c:numRef>
          </c:val>
          <c:smooth val="0"/>
          <c:extLst>
            <c:ext xmlns:c16="http://schemas.microsoft.com/office/drawing/2014/chart" uri="{C3380CC4-5D6E-409C-BE32-E72D297353CC}">
              <c16:uniqueId val="{00000001-F610-4772-AA00-8A83BE270C1B}"/>
            </c:ext>
          </c:extLst>
        </c:ser>
        <c:ser>
          <c:idx val="3"/>
          <c:order val="3"/>
          <c:tx>
            <c:strRef>
              <c:f>Sheet12!$E$3:$E$4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Sheet12!$A$5:$A$10</c:f>
              <c:strCache>
                <c:ptCount val="5"/>
                <c:pt idx="0">
                  <c:v>2018</c:v>
                </c:pt>
                <c:pt idx="1">
                  <c:v>2019</c:v>
                </c:pt>
                <c:pt idx="2">
                  <c:v>2020</c:v>
                </c:pt>
                <c:pt idx="3">
                  <c:v>2021</c:v>
                </c:pt>
                <c:pt idx="4">
                  <c:v>2022</c:v>
                </c:pt>
              </c:strCache>
            </c:strRef>
          </c:cat>
          <c:val>
            <c:numRef>
              <c:f>Sheet12!$E$5:$E$10</c:f>
              <c:numCache>
                <c:formatCode>General</c:formatCode>
                <c:ptCount val="5"/>
                <c:pt idx="0">
                  <c:v>0.41</c:v>
                </c:pt>
                <c:pt idx="1">
                  <c:v>0.38</c:v>
                </c:pt>
                <c:pt idx="2">
                  <c:v>0.53</c:v>
                </c:pt>
                <c:pt idx="3">
                  <c:v>0.34</c:v>
                </c:pt>
                <c:pt idx="4">
                  <c:v>0.26</c:v>
                </c:pt>
              </c:numCache>
            </c:numRef>
          </c:val>
          <c:smooth val="0"/>
          <c:extLst>
            <c:ext xmlns:c16="http://schemas.microsoft.com/office/drawing/2014/chart" uri="{C3380CC4-5D6E-409C-BE32-E72D297353CC}">
              <c16:uniqueId val="{00000002-F610-4772-AA00-8A83BE270C1B}"/>
            </c:ext>
          </c:extLst>
        </c:ser>
        <c:dLbls>
          <c:showLegendKey val="0"/>
          <c:showVal val="0"/>
          <c:showCatName val="0"/>
          <c:showSerName val="0"/>
          <c:showPercent val="0"/>
          <c:showBubbleSize val="0"/>
        </c:dLbls>
        <c:marker val="1"/>
        <c:smooth val="0"/>
        <c:axId val="826763711"/>
        <c:axId val="826769951"/>
      </c:lineChart>
      <c:catAx>
        <c:axId val="82676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6769951"/>
        <c:crosses val="autoZero"/>
        <c:auto val="1"/>
        <c:lblAlgn val="ctr"/>
        <c:lblOffset val="100"/>
        <c:noMultiLvlLbl val="0"/>
      </c:catAx>
      <c:valAx>
        <c:axId val="82676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676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(1).xlsx]Sheet13!PivotTable19</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Sheet13!$A$5:$A$10</c:f>
              <c:strCache>
                <c:ptCount val="5"/>
                <c:pt idx="0">
                  <c:v>2018</c:v>
                </c:pt>
                <c:pt idx="1">
                  <c:v>2019</c:v>
                </c:pt>
                <c:pt idx="2">
                  <c:v>2020</c:v>
                </c:pt>
                <c:pt idx="3">
                  <c:v>2021</c:v>
                </c:pt>
                <c:pt idx="4">
                  <c:v>2022</c:v>
                </c:pt>
              </c:strCache>
            </c:strRef>
          </c:cat>
          <c:val>
            <c:numRef>
              <c:f>Sheet13!$B$5:$B$10</c:f>
              <c:numCache>
                <c:formatCode>General</c:formatCode>
                <c:ptCount val="5"/>
                <c:pt idx="0">
                  <c:v>2.34</c:v>
                </c:pt>
                <c:pt idx="1">
                  <c:v>2.08</c:v>
                </c:pt>
                <c:pt idx="2">
                  <c:v>1.61</c:v>
                </c:pt>
                <c:pt idx="3">
                  <c:v>3.23</c:v>
                </c:pt>
                <c:pt idx="4">
                  <c:v>8.2799999999999994</c:v>
                </c:pt>
              </c:numCache>
            </c:numRef>
          </c:val>
          <c:smooth val="0"/>
          <c:extLst>
            <c:ext xmlns:c16="http://schemas.microsoft.com/office/drawing/2014/chart" uri="{C3380CC4-5D6E-409C-BE32-E72D297353CC}">
              <c16:uniqueId val="{00000000-558A-4AF3-BEF0-B91588F95F49}"/>
            </c:ext>
          </c:extLst>
        </c:ser>
        <c:ser>
          <c:idx val="1"/>
          <c:order val="1"/>
          <c:tx>
            <c:strRef>
              <c:f>Sheet13!$C$3:$C$4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Sheet13!$A$5:$A$10</c:f>
              <c:strCache>
                <c:ptCount val="5"/>
                <c:pt idx="0">
                  <c:v>2018</c:v>
                </c:pt>
                <c:pt idx="1">
                  <c:v>2019</c:v>
                </c:pt>
                <c:pt idx="2">
                  <c:v>2020</c:v>
                </c:pt>
                <c:pt idx="3">
                  <c:v>2021</c:v>
                </c:pt>
                <c:pt idx="4">
                  <c:v>2022</c:v>
                </c:pt>
              </c:strCache>
            </c:strRef>
          </c:cat>
          <c:val>
            <c:numRef>
              <c:f>Sheet13!$C$5:$C$10</c:f>
              <c:numCache>
                <c:formatCode>General</c:formatCode>
                <c:ptCount val="5"/>
                <c:pt idx="0">
                  <c:v>0.86</c:v>
                </c:pt>
                <c:pt idx="1">
                  <c:v>1.29</c:v>
                </c:pt>
                <c:pt idx="2">
                  <c:v>1.34</c:v>
                </c:pt>
                <c:pt idx="3">
                  <c:v>5.25</c:v>
                </c:pt>
                <c:pt idx="4">
                  <c:v>10.7</c:v>
                </c:pt>
              </c:numCache>
            </c:numRef>
          </c:val>
          <c:smooth val="0"/>
          <c:extLst>
            <c:ext xmlns:c16="http://schemas.microsoft.com/office/drawing/2014/chart" uri="{C3380CC4-5D6E-409C-BE32-E72D297353CC}">
              <c16:uniqueId val="{00000000-BBC8-46AA-A6F8-7422A17195FA}"/>
            </c:ext>
          </c:extLst>
        </c:ser>
        <c:ser>
          <c:idx val="2"/>
          <c:order val="2"/>
          <c:tx>
            <c:strRef>
              <c:f>Sheet13!$D$3:$D$4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Sheet13!$A$5:$A$10</c:f>
              <c:strCache>
                <c:ptCount val="5"/>
                <c:pt idx="0">
                  <c:v>2018</c:v>
                </c:pt>
                <c:pt idx="1">
                  <c:v>2019</c:v>
                </c:pt>
                <c:pt idx="2">
                  <c:v>2020</c:v>
                </c:pt>
                <c:pt idx="3">
                  <c:v>2021</c:v>
                </c:pt>
                <c:pt idx="4">
                  <c:v>2022</c:v>
                </c:pt>
              </c:strCache>
            </c:strRef>
          </c:cat>
          <c:val>
            <c:numRef>
              <c:f>Sheet13!$D$5:$D$10</c:f>
              <c:numCache>
                <c:formatCode>General</c:formatCode>
                <c:ptCount val="5"/>
                <c:pt idx="0">
                  <c:v>3.04</c:v>
                </c:pt>
                <c:pt idx="1">
                  <c:v>4.09</c:v>
                </c:pt>
                <c:pt idx="2">
                  <c:v>2.39</c:v>
                </c:pt>
                <c:pt idx="3">
                  <c:v>4.53</c:v>
                </c:pt>
                <c:pt idx="4">
                  <c:v>8.7799999999999994</c:v>
                </c:pt>
              </c:numCache>
            </c:numRef>
          </c:val>
          <c:smooth val="0"/>
          <c:extLst>
            <c:ext xmlns:c16="http://schemas.microsoft.com/office/drawing/2014/chart" uri="{C3380CC4-5D6E-409C-BE32-E72D297353CC}">
              <c16:uniqueId val="{00000001-BBC8-46AA-A6F8-7422A17195FA}"/>
            </c:ext>
          </c:extLst>
        </c:ser>
        <c:ser>
          <c:idx val="3"/>
          <c:order val="3"/>
          <c:tx>
            <c:strRef>
              <c:f>Sheet13!$E$3:$E$4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Sheet13!$A$5:$A$10</c:f>
              <c:strCache>
                <c:ptCount val="5"/>
                <c:pt idx="0">
                  <c:v>2018</c:v>
                </c:pt>
                <c:pt idx="1">
                  <c:v>2019</c:v>
                </c:pt>
                <c:pt idx="2">
                  <c:v>2020</c:v>
                </c:pt>
                <c:pt idx="3">
                  <c:v>2021</c:v>
                </c:pt>
                <c:pt idx="4">
                  <c:v>2022</c:v>
                </c:pt>
              </c:strCache>
            </c:strRef>
          </c:cat>
          <c:val>
            <c:numRef>
              <c:f>Sheet13!$E$5:$E$10</c:f>
              <c:numCache>
                <c:formatCode>General</c:formatCode>
                <c:ptCount val="5"/>
                <c:pt idx="0">
                  <c:v>4.5599999999999996</c:v>
                </c:pt>
                <c:pt idx="1">
                  <c:v>6.79</c:v>
                </c:pt>
                <c:pt idx="2">
                  <c:v>3.74</c:v>
                </c:pt>
                <c:pt idx="3">
                  <c:v>6.14</c:v>
                </c:pt>
                <c:pt idx="4">
                  <c:v>18.829999999999998</c:v>
                </c:pt>
              </c:numCache>
            </c:numRef>
          </c:val>
          <c:smooth val="0"/>
          <c:extLst>
            <c:ext xmlns:c16="http://schemas.microsoft.com/office/drawing/2014/chart" uri="{C3380CC4-5D6E-409C-BE32-E72D297353CC}">
              <c16:uniqueId val="{00000002-BBC8-46AA-A6F8-7422A17195FA}"/>
            </c:ext>
          </c:extLst>
        </c:ser>
        <c:dLbls>
          <c:showLegendKey val="0"/>
          <c:showVal val="0"/>
          <c:showCatName val="0"/>
          <c:showSerName val="0"/>
          <c:showPercent val="0"/>
          <c:showBubbleSize val="0"/>
        </c:dLbls>
        <c:marker val="1"/>
        <c:smooth val="0"/>
        <c:axId val="122226335"/>
        <c:axId val="122229663"/>
      </c:lineChart>
      <c:catAx>
        <c:axId val="12222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29663"/>
        <c:crosses val="autoZero"/>
        <c:auto val="1"/>
        <c:lblAlgn val="ctr"/>
        <c:lblOffset val="100"/>
        <c:noMultiLvlLbl val="0"/>
      </c:catAx>
      <c:valAx>
        <c:axId val="12222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2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(1).xlsx]Sheet14!PivotTable20</c:name>
    <c:fmtId val="0"/>
  </c:pivotSource>
  <c:chart>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Sheet14!$B$3:$B$4</c:f>
              <c:strCache>
                <c:ptCount val="1"/>
                <c:pt idx="0">
                  <c:v>Hindalco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Sheet14!$A$5:$A$10</c:f>
              <c:strCache>
                <c:ptCount val="5"/>
                <c:pt idx="0">
                  <c:v>2018</c:v>
                </c:pt>
                <c:pt idx="1">
                  <c:v>2019</c:v>
                </c:pt>
                <c:pt idx="2">
                  <c:v>2020</c:v>
                </c:pt>
                <c:pt idx="3">
                  <c:v>2021</c:v>
                </c:pt>
                <c:pt idx="4">
                  <c:v>2022</c:v>
                </c:pt>
              </c:strCache>
            </c:strRef>
          </c:cat>
          <c:val>
            <c:numRef>
              <c:f>Sheet14!$B$5:$B$10</c:f>
              <c:numCache>
                <c:formatCode>0%</c:formatCode>
                <c:ptCount val="5"/>
                <c:pt idx="0">
                  <c:v>0.51739999999999997</c:v>
                </c:pt>
                <c:pt idx="1">
                  <c:v>0.56130000000000002</c:v>
                </c:pt>
                <c:pt idx="2">
                  <c:v>0.50260000000000005</c:v>
                </c:pt>
                <c:pt idx="3">
                  <c:v>5.1000000000000004E-3</c:v>
                </c:pt>
                <c:pt idx="4">
                  <c:v>7.1999999999999998E-3</c:v>
                </c:pt>
              </c:numCache>
            </c:numRef>
          </c:val>
          <c:smooth val="0"/>
          <c:extLst>
            <c:ext xmlns:c16="http://schemas.microsoft.com/office/drawing/2014/chart" uri="{C3380CC4-5D6E-409C-BE32-E72D297353CC}">
              <c16:uniqueId val="{00000000-26CB-48FD-9D15-31EC926CE3A9}"/>
            </c:ext>
          </c:extLst>
        </c:ser>
        <c:ser>
          <c:idx val="1"/>
          <c:order val="1"/>
          <c:tx>
            <c:strRef>
              <c:f>Sheet14!$C$3:$C$4</c:f>
              <c:strCache>
                <c:ptCount val="1"/>
                <c:pt idx="0">
                  <c:v>Jindal Steel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Sheet14!$A$5:$A$10</c:f>
              <c:strCache>
                <c:ptCount val="5"/>
                <c:pt idx="0">
                  <c:v>2018</c:v>
                </c:pt>
                <c:pt idx="1">
                  <c:v>2019</c:v>
                </c:pt>
                <c:pt idx="2">
                  <c:v>2020</c:v>
                </c:pt>
                <c:pt idx="3">
                  <c:v>2021</c:v>
                </c:pt>
                <c:pt idx="4">
                  <c:v>2022</c:v>
                </c:pt>
              </c:strCache>
            </c:strRef>
          </c:cat>
          <c:val>
            <c:numRef>
              <c:f>Sheet14!$C$5:$C$10</c:f>
              <c:numCache>
                <c:formatCode>0%</c:formatCode>
                <c:ptCount val="5"/>
                <c:pt idx="0">
                  <c:v>0.28399999999999997</c:v>
                </c:pt>
                <c:pt idx="1">
                  <c:v>0.48049999999999998</c:v>
                </c:pt>
                <c:pt idx="2">
                  <c:v>0.44540000000000002</c:v>
                </c:pt>
                <c:pt idx="3">
                  <c:v>0.48180000000000001</c:v>
                </c:pt>
                <c:pt idx="4">
                  <c:v>6.8999999999999999E-3</c:v>
                </c:pt>
              </c:numCache>
            </c:numRef>
          </c:val>
          <c:smooth val="0"/>
          <c:extLst>
            <c:ext xmlns:c16="http://schemas.microsoft.com/office/drawing/2014/chart" uri="{C3380CC4-5D6E-409C-BE32-E72D297353CC}">
              <c16:uniqueId val="{00000000-7B6E-48A8-80E6-00A4A1A5842E}"/>
            </c:ext>
          </c:extLst>
        </c:ser>
        <c:ser>
          <c:idx val="2"/>
          <c:order val="2"/>
          <c:tx>
            <c:strRef>
              <c:f>Sheet14!$D$3:$D$4</c:f>
              <c:strCache>
                <c:ptCount val="1"/>
                <c:pt idx="0">
                  <c:v>JSW Steel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Sheet14!$A$5:$A$10</c:f>
              <c:strCache>
                <c:ptCount val="5"/>
                <c:pt idx="0">
                  <c:v>2018</c:v>
                </c:pt>
                <c:pt idx="1">
                  <c:v>2019</c:v>
                </c:pt>
                <c:pt idx="2">
                  <c:v>2020</c:v>
                </c:pt>
                <c:pt idx="3">
                  <c:v>2021</c:v>
                </c:pt>
                <c:pt idx="4">
                  <c:v>2022</c:v>
                </c:pt>
              </c:strCache>
            </c:strRef>
          </c:cat>
          <c:val>
            <c:numRef>
              <c:f>Sheet14!$D$5:$D$10</c:f>
              <c:numCache>
                <c:formatCode>0%</c:formatCode>
                <c:ptCount val="5"/>
                <c:pt idx="0">
                  <c:v>0.75939999999999996</c:v>
                </c:pt>
                <c:pt idx="1">
                  <c:v>0.71850000000000003</c:v>
                </c:pt>
                <c:pt idx="2">
                  <c:v>0.52649999999999997</c:v>
                </c:pt>
                <c:pt idx="3">
                  <c:v>0.53080000000000005</c:v>
                </c:pt>
                <c:pt idx="4">
                  <c:v>8.0000000000000002E-3</c:v>
                </c:pt>
              </c:numCache>
            </c:numRef>
          </c:val>
          <c:smooth val="0"/>
          <c:extLst>
            <c:ext xmlns:c16="http://schemas.microsoft.com/office/drawing/2014/chart" uri="{C3380CC4-5D6E-409C-BE32-E72D297353CC}">
              <c16:uniqueId val="{00000001-7B6E-48A8-80E6-00A4A1A5842E}"/>
            </c:ext>
          </c:extLst>
        </c:ser>
        <c:ser>
          <c:idx val="3"/>
          <c:order val="3"/>
          <c:tx>
            <c:strRef>
              <c:f>Sheet14!$E$3:$E$4</c:f>
              <c:strCache>
                <c:ptCount val="1"/>
                <c:pt idx="0">
                  <c:v>Tata Steel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Sheet14!$A$5:$A$10</c:f>
              <c:strCache>
                <c:ptCount val="5"/>
                <c:pt idx="0">
                  <c:v>2018</c:v>
                </c:pt>
                <c:pt idx="1">
                  <c:v>2019</c:v>
                </c:pt>
                <c:pt idx="2">
                  <c:v>2020</c:v>
                </c:pt>
                <c:pt idx="3">
                  <c:v>2021</c:v>
                </c:pt>
                <c:pt idx="4">
                  <c:v>2022</c:v>
                </c:pt>
              </c:strCache>
            </c:strRef>
          </c:cat>
          <c:val>
            <c:numRef>
              <c:f>Sheet14!$E$5:$E$10</c:f>
              <c:numCache>
                <c:formatCode>0%</c:formatCode>
                <c:ptCount val="5"/>
                <c:pt idx="0">
                  <c:v>0.47639999999999999</c:v>
                </c:pt>
                <c:pt idx="1">
                  <c:v>0.51349999999999996</c:v>
                </c:pt>
                <c:pt idx="2">
                  <c:v>0.40179999999999999</c:v>
                </c:pt>
                <c:pt idx="3">
                  <c:v>5.1000000000000004E-3</c:v>
                </c:pt>
                <c:pt idx="4">
                  <c:v>6.4000000000000003E-3</c:v>
                </c:pt>
              </c:numCache>
            </c:numRef>
          </c:val>
          <c:smooth val="0"/>
          <c:extLst>
            <c:ext xmlns:c16="http://schemas.microsoft.com/office/drawing/2014/chart" uri="{C3380CC4-5D6E-409C-BE32-E72D297353CC}">
              <c16:uniqueId val="{00000002-7B6E-48A8-80E6-00A4A1A5842E}"/>
            </c:ext>
          </c:extLst>
        </c:ser>
        <c:dLbls>
          <c:showLegendKey val="0"/>
          <c:showVal val="0"/>
          <c:showCatName val="0"/>
          <c:showSerName val="0"/>
          <c:showPercent val="0"/>
          <c:showBubbleSize val="0"/>
        </c:dLbls>
        <c:marker val="1"/>
        <c:smooth val="0"/>
        <c:axId val="1405427983"/>
        <c:axId val="1405426319"/>
      </c:lineChart>
      <c:catAx>
        <c:axId val="140542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426319"/>
        <c:crosses val="autoZero"/>
        <c:auto val="1"/>
        <c:lblAlgn val="ctr"/>
        <c:lblOffset val="100"/>
        <c:noMultiLvlLbl val="0"/>
      </c:catAx>
      <c:valAx>
        <c:axId val="14054263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42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8</xdr:col>
      <xdr:colOff>0</xdr:colOff>
      <xdr:row>16</xdr:row>
      <xdr:rowOff>0</xdr:rowOff>
    </xdr:from>
    <xdr:to>
      <xdr:col>11</xdr:col>
      <xdr:colOff>762000</xdr:colOff>
      <xdr:row>27</xdr:row>
      <xdr:rowOff>57150</xdr:rowOff>
    </xdr:to>
    <xdr:graphicFrame macro="">
      <xdr:nvGraphicFramePr>
        <xdr:cNvPr id="4" name="Chart 3">
          <a:extLst>
            <a:ext uri="{FF2B5EF4-FFF2-40B4-BE49-F238E27FC236}">
              <a16:creationId xmlns:a16="http://schemas.microsoft.com/office/drawing/2014/main" id="{C25D373B-8873-4229-8BC9-1B488AB1C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1184275</xdr:colOff>
      <xdr:row>12</xdr:row>
      <xdr:rowOff>31750</xdr:rowOff>
    </xdr:from>
    <xdr:to>
      <xdr:col>4</xdr:col>
      <xdr:colOff>1092200</xdr:colOff>
      <xdr:row>24</xdr:row>
      <xdr:rowOff>12700</xdr:rowOff>
    </xdr:to>
    <xdr:graphicFrame macro="">
      <xdr:nvGraphicFramePr>
        <xdr:cNvPr id="3" name="Chart 2">
          <a:extLst>
            <a:ext uri="{FF2B5EF4-FFF2-40B4-BE49-F238E27FC236}">
              <a16:creationId xmlns:a16="http://schemas.microsoft.com/office/drawing/2014/main" id="{10D8DE07-8FE6-8819-E97C-85C4E9957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40941</xdr:colOff>
      <xdr:row>3</xdr:row>
      <xdr:rowOff>7018</xdr:rowOff>
    </xdr:from>
    <xdr:to>
      <xdr:col>17</xdr:col>
      <xdr:colOff>200526</xdr:colOff>
      <xdr:row>16</xdr:row>
      <xdr:rowOff>50132</xdr:rowOff>
    </xdr:to>
    <xdr:graphicFrame macro="">
      <xdr:nvGraphicFramePr>
        <xdr:cNvPr id="2" name="Chart 1">
          <a:extLst>
            <a:ext uri="{FF2B5EF4-FFF2-40B4-BE49-F238E27FC236}">
              <a16:creationId xmlns:a16="http://schemas.microsoft.com/office/drawing/2014/main" id="{47706DB8-5EA4-44F0-62E1-826431005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24230</xdr:colOff>
      <xdr:row>17</xdr:row>
      <xdr:rowOff>174125</xdr:rowOff>
    </xdr:from>
    <xdr:to>
      <xdr:col>17</xdr:col>
      <xdr:colOff>225592</xdr:colOff>
      <xdr:row>31</xdr:row>
      <xdr:rowOff>50131</xdr:rowOff>
    </xdr:to>
    <xdr:graphicFrame macro="">
      <xdr:nvGraphicFramePr>
        <xdr:cNvPr id="3" name="Chart 2">
          <a:extLst>
            <a:ext uri="{FF2B5EF4-FFF2-40B4-BE49-F238E27FC236}">
              <a16:creationId xmlns:a16="http://schemas.microsoft.com/office/drawing/2014/main" id="{32695DD7-D431-99B1-8351-3B0817EE8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575678</xdr:colOff>
      <xdr:row>2</xdr:row>
      <xdr:rowOff>40439</xdr:rowOff>
    </xdr:from>
    <xdr:to>
      <xdr:col>25</xdr:col>
      <xdr:colOff>8355</xdr:colOff>
      <xdr:row>16</xdr:row>
      <xdr:rowOff>41776</xdr:rowOff>
    </xdr:to>
    <xdr:graphicFrame macro="">
      <xdr:nvGraphicFramePr>
        <xdr:cNvPr id="4" name="Chart 3">
          <a:extLst>
            <a:ext uri="{FF2B5EF4-FFF2-40B4-BE49-F238E27FC236}">
              <a16:creationId xmlns:a16="http://schemas.microsoft.com/office/drawing/2014/main" id="{240F7EFD-AA11-AFB8-36F8-EB9ECF878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600743</xdr:colOff>
      <xdr:row>17</xdr:row>
      <xdr:rowOff>182479</xdr:rowOff>
    </xdr:from>
    <xdr:to>
      <xdr:col>25</xdr:col>
      <xdr:colOff>33421</xdr:colOff>
      <xdr:row>31</xdr:row>
      <xdr:rowOff>25066</xdr:rowOff>
    </xdr:to>
    <xdr:graphicFrame macro="">
      <xdr:nvGraphicFramePr>
        <xdr:cNvPr id="6" name="Chart 5">
          <a:extLst>
            <a:ext uri="{FF2B5EF4-FFF2-40B4-BE49-F238E27FC236}">
              <a16:creationId xmlns:a16="http://schemas.microsoft.com/office/drawing/2014/main" id="{0DC0C863-7E71-536E-F224-15CD4C0E2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561475</xdr:colOff>
      <xdr:row>3</xdr:row>
      <xdr:rowOff>0</xdr:rowOff>
    </xdr:from>
    <xdr:to>
      <xdr:col>33</xdr:col>
      <xdr:colOff>226429</xdr:colOff>
      <xdr:row>16</xdr:row>
      <xdr:rowOff>30079</xdr:rowOff>
    </xdr:to>
    <xdr:graphicFrame macro="">
      <xdr:nvGraphicFramePr>
        <xdr:cNvPr id="8" name="Chart 7">
          <a:extLst>
            <a:ext uri="{FF2B5EF4-FFF2-40B4-BE49-F238E27FC236}">
              <a16:creationId xmlns:a16="http://schemas.microsoft.com/office/drawing/2014/main" id="{2C1704AC-1B9C-45C5-B584-5DC4296E7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14276</xdr:colOff>
      <xdr:row>3</xdr:row>
      <xdr:rowOff>18559</xdr:rowOff>
    </xdr:from>
    <xdr:to>
      <xdr:col>16</xdr:col>
      <xdr:colOff>584548</xdr:colOff>
      <xdr:row>15</xdr:row>
      <xdr:rowOff>177452</xdr:rowOff>
    </xdr:to>
    <xdr:graphicFrame macro="">
      <xdr:nvGraphicFramePr>
        <xdr:cNvPr id="2" name="Chart 1">
          <a:extLst>
            <a:ext uri="{FF2B5EF4-FFF2-40B4-BE49-F238E27FC236}">
              <a16:creationId xmlns:a16="http://schemas.microsoft.com/office/drawing/2014/main" id="{4CFA6D27-C0BC-584F-9084-AF4587187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39026</xdr:colOff>
      <xdr:row>18</xdr:row>
      <xdr:rowOff>4233</xdr:rowOff>
    </xdr:from>
    <xdr:to>
      <xdr:col>17</xdr:col>
      <xdr:colOff>10439</xdr:colOff>
      <xdr:row>31</xdr:row>
      <xdr:rowOff>104383</xdr:rowOff>
    </xdr:to>
    <xdr:graphicFrame macro="">
      <xdr:nvGraphicFramePr>
        <xdr:cNvPr id="3" name="Chart 2">
          <a:extLst>
            <a:ext uri="{FF2B5EF4-FFF2-40B4-BE49-F238E27FC236}">
              <a16:creationId xmlns:a16="http://schemas.microsoft.com/office/drawing/2014/main" id="{DD5A73CE-0D00-8638-3376-34FB172ED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700485</xdr:colOff>
      <xdr:row>18</xdr:row>
      <xdr:rowOff>24078</xdr:rowOff>
    </xdr:from>
    <xdr:to>
      <xdr:col>8</xdr:col>
      <xdr:colOff>105834</xdr:colOff>
      <xdr:row>31</xdr:row>
      <xdr:rowOff>72761</xdr:rowOff>
    </xdr:to>
    <xdr:graphicFrame macro="">
      <xdr:nvGraphicFramePr>
        <xdr:cNvPr id="4" name="Chart 3">
          <a:extLst>
            <a:ext uri="{FF2B5EF4-FFF2-40B4-BE49-F238E27FC236}">
              <a16:creationId xmlns:a16="http://schemas.microsoft.com/office/drawing/2014/main" id="{54B467D6-B726-75FF-AECF-A81FFC5EC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822960</xdr:colOff>
      <xdr:row>1</xdr:row>
      <xdr:rowOff>95250</xdr:rowOff>
    </xdr:from>
    <xdr:to>
      <xdr:col>8</xdr:col>
      <xdr:colOff>1234440</xdr:colOff>
      <xdr:row>16</xdr:row>
      <xdr:rowOff>7620</xdr:rowOff>
    </xdr:to>
    <xdr:graphicFrame macro="">
      <xdr:nvGraphicFramePr>
        <xdr:cNvPr id="2" name="Chart 1">
          <a:extLst>
            <a:ext uri="{FF2B5EF4-FFF2-40B4-BE49-F238E27FC236}">
              <a16:creationId xmlns:a16="http://schemas.microsoft.com/office/drawing/2014/main" id="{763A30B9-85B4-5A18-A393-72A7FAE3E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1</xdr:row>
      <xdr:rowOff>91440</xdr:rowOff>
    </xdr:from>
    <xdr:to>
      <xdr:col>12</xdr:col>
      <xdr:colOff>160020</xdr:colOff>
      <xdr:row>15</xdr:row>
      <xdr:rowOff>160020</xdr:rowOff>
    </xdr:to>
    <xdr:graphicFrame macro="">
      <xdr:nvGraphicFramePr>
        <xdr:cNvPr id="3" name="Chart 2">
          <a:extLst>
            <a:ext uri="{FF2B5EF4-FFF2-40B4-BE49-F238E27FC236}">
              <a16:creationId xmlns:a16="http://schemas.microsoft.com/office/drawing/2014/main" id="{F8C67ACE-4824-E800-927F-6600E137C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800100</xdr:colOff>
      <xdr:row>17</xdr:row>
      <xdr:rowOff>22860</xdr:rowOff>
    </xdr:from>
    <xdr:to>
      <xdr:col>8</xdr:col>
      <xdr:colOff>1325880</xdr:colOff>
      <xdr:row>30</xdr:row>
      <xdr:rowOff>175260</xdr:rowOff>
    </xdr:to>
    <xdr:graphicFrame macro="">
      <xdr:nvGraphicFramePr>
        <xdr:cNvPr id="4" name="Chart 3">
          <a:extLst>
            <a:ext uri="{FF2B5EF4-FFF2-40B4-BE49-F238E27FC236}">
              <a16:creationId xmlns:a16="http://schemas.microsoft.com/office/drawing/2014/main" id="{8E902F4A-0854-A3DF-7D44-BE8E4F740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327660</xdr:colOff>
      <xdr:row>16</xdr:row>
      <xdr:rowOff>179070</xdr:rowOff>
    </xdr:from>
    <xdr:to>
      <xdr:col>11</xdr:col>
      <xdr:colOff>563880</xdr:colOff>
      <xdr:row>31</xdr:row>
      <xdr:rowOff>179070</xdr:rowOff>
    </xdr:to>
    <xdr:graphicFrame macro="">
      <xdr:nvGraphicFramePr>
        <xdr:cNvPr id="7" name="Chart 6">
          <a:extLst>
            <a:ext uri="{FF2B5EF4-FFF2-40B4-BE49-F238E27FC236}">
              <a16:creationId xmlns:a16="http://schemas.microsoft.com/office/drawing/2014/main" id="{CD5B548C-651A-F507-BEF4-DA8D52C6A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160020</xdr:colOff>
      <xdr:row>6</xdr:row>
      <xdr:rowOff>175260</xdr:rowOff>
    </xdr:from>
    <xdr:to>
      <xdr:col>9</xdr:col>
      <xdr:colOff>525780</xdr:colOff>
      <xdr:row>22</xdr:row>
      <xdr:rowOff>68580</xdr:rowOff>
    </xdr:to>
    <xdr:graphicFrame macro="">
      <xdr:nvGraphicFramePr>
        <xdr:cNvPr id="2" name="Chart 1">
          <a:extLst>
            <a:ext uri="{FF2B5EF4-FFF2-40B4-BE49-F238E27FC236}">
              <a16:creationId xmlns:a16="http://schemas.microsoft.com/office/drawing/2014/main" id="{CB5C8631-827B-4014-B22F-E31C2F155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6</xdr:row>
      <xdr:rowOff>175260</xdr:rowOff>
    </xdr:from>
    <xdr:to>
      <xdr:col>16</xdr:col>
      <xdr:colOff>449580</xdr:colOff>
      <xdr:row>22</xdr:row>
      <xdr:rowOff>91440</xdr:rowOff>
    </xdr:to>
    <xdr:graphicFrame macro="">
      <xdr:nvGraphicFramePr>
        <xdr:cNvPr id="3" name="Chart 2">
          <a:extLst>
            <a:ext uri="{FF2B5EF4-FFF2-40B4-BE49-F238E27FC236}">
              <a16:creationId xmlns:a16="http://schemas.microsoft.com/office/drawing/2014/main" id="{C6181240-10D4-48AD-90AE-74C387987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22</xdr:row>
      <xdr:rowOff>175260</xdr:rowOff>
    </xdr:from>
    <xdr:to>
      <xdr:col>9</xdr:col>
      <xdr:colOff>533400</xdr:colOff>
      <xdr:row>36</xdr:row>
      <xdr:rowOff>160020</xdr:rowOff>
    </xdr:to>
    <xdr:graphicFrame macro="">
      <xdr:nvGraphicFramePr>
        <xdr:cNvPr id="4" name="Chart 3">
          <a:extLst>
            <a:ext uri="{FF2B5EF4-FFF2-40B4-BE49-F238E27FC236}">
              <a16:creationId xmlns:a16="http://schemas.microsoft.com/office/drawing/2014/main" id="{F537DBFD-84E2-47DF-8100-DC2E66A12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0</xdr:rowOff>
    </xdr:from>
    <xdr:to>
      <xdr:col>16</xdr:col>
      <xdr:colOff>464820</xdr:colOff>
      <xdr:row>37</xdr:row>
      <xdr:rowOff>7620</xdr:rowOff>
    </xdr:to>
    <xdr:graphicFrame macro="">
      <xdr:nvGraphicFramePr>
        <xdr:cNvPr id="5" name="Chart 4">
          <a:extLst>
            <a:ext uri="{FF2B5EF4-FFF2-40B4-BE49-F238E27FC236}">
              <a16:creationId xmlns:a16="http://schemas.microsoft.com/office/drawing/2014/main" id="{D73A541C-0757-43AD-A51A-85C3411D5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603250</xdr:colOff>
      <xdr:row>2</xdr:row>
      <xdr:rowOff>69850</xdr:rowOff>
    </xdr:from>
    <xdr:to>
      <xdr:col>14</xdr:col>
      <xdr:colOff>165100</xdr:colOff>
      <xdr:row>13</xdr:row>
      <xdr:rowOff>120650</xdr:rowOff>
    </xdr:to>
    <xdr:graphicFrame macro="">
      <xdr:nvGraphicFramePr>
        <xdr:cNvPr id="2" name="Chart 1">
          <a:extLst>
            <a:ext uri="{FF2B5EF4-FFF2-40B4-BE49-F238E27FC236}">
              <a16:creationId xmlns:a16="http://schemas.microsoft.com/office/drawing/2014/main" id="{35D8D959-B5CC-6F05-690A-73CC6071F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431800</xdr:colOff>
      <xdr:row>3</xdr:row>
      <xdr:rowOff>120650</xdr:rowOff>
    </xdr:from>
    <xdr:to>
      <xdr:col>14</xdr:col>
      <xdr:colOff>292100</xdr:colOff>
      <xdr:row>18</xdr:row>
      <xdr:rowOff>101600</xdr:rowOff>
    </xdr:to>
    <xdr:graphicFrame macro="">
      <xdr:nvGraphicFramePr>
        <xdr:cNvPr id="2" name="Chart 1">
          <a:extLst>
            <a:ext uri="{FF2B5EF4-FFF2-40B4-BE49-F238E27FC236}">
              <a16:creationId xmlns:a16="http://schemas.microsoft.com/office/drawing/2014/main" id="{E0B45BDE-E047-9DD6-1700-67323D16E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320675</xdr:colOff>
      <xdr:row>1</xdr:row>
      <xdr:rowOff>177800</xdr:rowOff>
    </xdr:from>
    <xdr:to>
      <xdr:col>15</xdr:col>
      <xdr:colOff>85725</xdr:colOff>
      <xdr:row>16</xdr:row>
      <xdr:rowOff>158750</xdr:rowOff>
    </xdr:to>
    <xdr:graphicFrame macro="">
      <xdr:nvGraphicFramePr>
        <xdr:cNvPr id="2" name="Chart 1">
          <a:extLst>
            <a:ext uri="{FF2B5EF4-FFF2-40B4-BE49-F238E27FC236}">
              <a16:creationId xmlns:a16="http://schemas.microsoft.com/office/drawing/2014/main" id="{71732227-E5F6-47B0-10A8-10EF8DA6F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476250</xdr:colOff>
      <xdr:row>1</xdr:row>
      <xdr:rowOff>127000</xdr:rowOff>
    </xdr:from>
    <xdr:to>
      <xdr:col>14</xdr:col>
      <xdr:colOff>336550</xdr:colOff>
      <xdr:row>16</xdr:row>
      <xdr:rowOff>107950</xdr:rowOff>
    </xdr:to>
    <xdr:graphicFrame macro="">
      <xdr:nvGraphicFramePr>
        <xdr:cNvPr id="2" name="Chart 1">
          <a:extLst>
            <a:ext uri="{FF2B5EF4-FFF2-40B4-BE49-F238E27FC236}">
              <a16:creationId xmlns:a16="http://schemas.microsoft.com/office/drawing/2014/main" id="{F0268258-B22D-843A-7E45-1ACF8AC41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508000</xdr:colOff>
      <xdr:row>1</xdr:row>
      <xdr:rowOff>146050</xdr:rowOff>
    </xdr:from>
    <xdr:to>
      <xdr:col>14</xdr:col>
      <xdr:colOff>368300</xdr:colOff>
      <xdr:row>16</xdr:row>
      <xdr:rowOff>127000</xdr:rowOff>
    </xdr:to>
    <xdr:graphicFrame macro="">
      <xdr:nvGraphicFramePr>
        <xdr:cNvPr id="2" name="Chart 1">
          <a:extLst>
            <a:ext uri="{FF2B5EF4-FFF2-40B4-BE49-F238E27FC236}">
              <a16:creationId xmlns:a16="http://schemas.microsoft.com/office/drawing/2014/main" id="{58819A15-F8D5-9B17-8C41-6DDE23645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412750</xdr:colOff>
      <xdr:row>1</xdr:row>
      <xdr:rowOff>146050</xdr:rowOff>
    </xdr:from>
    <xdr:to>
      <xdr:col>14</xdr:col>
      <xdr:colOff>273050</xdr:colOff>
      <xdr:row>16</xdr:row>
      <xdr:rowOff>127000</xdr:rowOff>
    </xdr:to>
    <xdr:graphicFrame macro="">
      <xdr:nvGraphicFramePr>
        <xdr:cNvPr id="2" name="Chart 1">
          <a:extLst>
            <a:ext uri="{FF2B5EF4-FFF2-40B4-BE49-F238E27FC236}">
              <a16:creationId xmlns:a16="http://schemas.microsoft.com/office/drawing/2014/main" id="{151984B9-757E-97D4-2DF4-F876548EC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476250</xdr:colOff>
      <xdr:row>1</xdr:row>
      <xdr:rowOff>76200</xdr:rowOff>
    </xdr:from>
    <xdr:to>
      <xdr:col>14</xdr:col>
      <xdr:colOff>336550</xdr:colOff>
      <xdr:row>16</xdr:row>
      <xdr:rowOff>57150</xdr:rowOff>
    </xdr:to>
    <xdr:graphicFrame macro="">
      <xdr:nvGraphicFramePr>
        <xdr:cNvPr id="2" name="Chart 1">
          <a:extLst>
            <a:ext uri="{FF2B5EF4-FFF2-40B4-BE49-F238E27FC236}">
              <a16:creationId xmlns:a16="http://schemas.microsoft.com/office/drawing/2014/main" id="{DD7B917B-3FAC-DED7-7ACE-DC0F1646F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508000</xdr:colOff>
      <xdr:row>1</xdr:row>
      <xdr:rowOff>95250</xdr:rowOff>
    </xdr:from>
    <xdr:to>
      <xdr:col>14</xdr:col>
      <xdr:colOff>368300</xdr:colOff>
      <xdr:row>16</xdr:row>
      <xdr:rowOff>76200</xdr:rowOff>
    </xdr:to>
    <xdr:graphicFrame macro="">
      <xdr:nvGraphicFramePr>
        <xdr:cNvPr id="2" name="Chart 1">
          <a:extLst>
            <a:ext uri="{FF2B5EF4-FFF2-40B4-BE49-F238E27FC236}">
              <a16:creationId xmlns:a16="http://schemas.microsoft.com/office/drawing/2014/main" id="{C192AFEC-0A50-E754-AFA4-CAB17285D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nshul%20Garg/Downloads/Ambuja+Cement+Financial+Model.xlsx" TargetMode="External"/><Relationship Id="rId1" Type="http://schemas.openxmlformats.org/officeDocument/2006/relationships/externalLinkPath" Target="/Users/Anshul%20Garg/Downloads/Ambuja+Cement+Financial+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ny Overview"/>
      <sheetName val="Industry Overview"/>
      <sheetName val="Balance sheet"/>
      <sheetName val="Profit and loss"/>
      <sheetName val="Sources"/>
      <sheetName val="Assumptions"/>
      <sheetName val="BS"/>
      <sheetName val="CF"/>
      <sheetName val="PL"/>
      <sheetName val="Financial Statements"/>
      <sheetName val="Supporting Schedule"/>
      <sheetName val="Beta"/>
      <sheetName val="WACC"/>
      <sheetName val="DCF Valuation"/>
      <sheetName val="Ratio Analysis"/>
      <sheetName val="Relative Valuation"/>
      <sheetName val="Sheet1"/>
      <sheetName val="Sheet3"/>
      <sheetName val="Sheet2"/>
    </sheetNames>
    <sheetDataSet>
      <sheetData sheetId="0"/>
      <sheetData sheetId="1"/>
      <sheetData sheetId="2"/>
      <sheetData sheetId="3"/>
      <sheetData sheetId="4"/>
      <sheetData sheetId="5"/>
      <sheetData sheetId="6"/>
      <sheetData sheetId="7"/>
      <sheetData sheetId="8"/>
      <sheetData sheetId="9">
        <row r="1">
          <cell r="G1" t="str">
            <v>FORECASTED PERIOD</v>
          </cell>
          <cell r="H1"/>
          <cell r="I1"/>
          <cell r="J1"/>
          <cell r="K1"/>
        </row>
      </sheetData>
      <sheetData sheetId="10"/>
      <sheetData sheetId="11"/>
      <sheetData sheetId="12"/>
      <sheetData sheetId="13"/>
      <sheetData sheetId="14"/>
      <sheetData sheetId="15"/>
      <sheetData sheetId="16"/>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l Garg" refreshedDate="44935.151161689813" createdVersion="8" refreshedVersion="8" minRefreshableVersion="3" recordCount="20" xr:uid="{D21DE2C2-9B10-4C88-9D81-2CE54C1125AA}">
  <cacheSource type="worksheet">
    <worksheetSource name="Table1"/>
  </cacheSource>
  <cacheFields count="10">
    <cacheField name="Company Name" numFmtId="0">
      <sharedItems count="4">
        <s v="JSW Steel"/>
        <s v="Hindalco"/>
        <s v="Jindal Steel"/>
        <s v="Tata Steel"/>
      </sharedItems>
    </cacheField>
    <cacheField name="Year" numFmtId="0">
      <sharedItems containsSemiMixedTypes="0" containsString="0" containsNumber="1" containsInteger="1" minValue="2018" maxValue="2022" count="5">
        <n v="2018"/>
        <n v="2019"/>
        <n v="2020"/>
        <n v="2021"/>
        <n v="2022"/>
      </sharedItems>
    </cacheField>
    <cacheField name="Revenue Growth" numFmtId="10">
      <sharedItems containsSemiMixedTypes="0" containsString="0" containsNumber="1" minValue="-0.16750000000000001" maxValue="0.68"/>
    </cacheField>
    <cacheField name="EBITDA Margin" numFmtId="10">
      <sharedItems containsSemiMixedTypes="0" containsString="0" containsNumber="1" minValue="8.77E-2" maxValue="0.39629999999999999"/>
    </cacheField>
    <cacheField name="Return on Assets" numFmtId="10">
      <sharedItems containsSemiMixedTypes="0" containsString="0" containsNumber="1" minValue="-6.0000000000000001E-3" maxValue="0.1487"/>
    </cacheField>
    <cacheField name="Return on Equity" numFmtId="10">
      <sharedItems containsSemiMixedTypes="0" containsString="0" containsNumber="1" minValue="-1.5800000000000002E-2" maxValue="0.2631"/>
    </cacheField>
    <cacheField name="Current Ratio" numFmtId="0">
      <sharedItems containsSemiMixedTypes="0" containsString="0" containsNumber="1" minValue="0.57999999999999996" maxValue="1.7"/>
    </cacheField>
    <cacheField name="Debt/Equity Ratio" numFmtId="0">
      <sharedItems containsSemiMixedTypes="0" containsString="0" containsNumber="1" minValue="0.26" maxValue="1.2"/>
    </cacheField>
    <cacheField name="Interest Coverage Ratio" numFmtId="0">
      <sharedItems containsSemiMixedTypes="0" containsString="0" containsNumber="1" minValue="0.86" maxValue="18.829999999999998"/>
    </cacheField>
    <cacheField name="Asset Turnover" numFmtId="10">
      <sharedItems containsSemiMixedTypes="0" containsString="0" containsNumber="1" minValue="5.1000000000000004E-3" maxValue="0.75939999999999996"/>
    </cacheField>
  </cacheFields>
  <extLst>
    <ext xmlns:x14="http://schemas.microsoft.com/office/spreadsheetml/2009/9/main" uri="{725AE2AE-9491-48be-B2B4-4EB974FC3084}">
      <x14:pivotCacheDefinition pivotCacheId="16763788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li" refreshedDate="46116.873096875002" createdVersion="8" refreshedVersion="8" minRefreshableVersion="3" recordCount="20" xr:uid="{95E8D170-B519-4760-B276-DE949359BF48}">
  <cacheSource type="worksheet">
    <worksheetSource name="Table14"/>
  </cacheSource>
  <cacheFields count="10">
    <cacheField name="Company Name" numFmtId="0">
      <sharedItems count="4">
        <s v="Divis Lab"/>
        <s v="Dr Reddy"/>
        <s v="Cipla"/>
        <s v="Sun Pharma"/>
      </sharedItems>
    </cacheField>
    <cacheField name="Year" numFmtId="0">
      <sharedItems containsSemiMixedTypes="0" containsString="0" containsNumber="1" containsInteger="1" minValue="2021" maxValue="2025" count="5">
        <n v="2021"/>
        <n v="2022"/>
        <n v="2023"/>
        <n v="2024"/>
        <n v="2025"/>
      </sharedItems>
    </cacheField>
    <cacheField name="Revenue Growth" numFmtId="0">
      <sharedItems containsMixedTypes="1" containsNumber="1" minValue="-14.13" maxValue="119.77" count="18">
        <s v="—"/>
        <n v="30.61"/>
        <n v="-14.13"/>
        <n v="0.52"/>
        <n v="20"/>
        <n v="29.5"/>
        <n v="21.35"/>
        <n v="28.33"/>
        <n v="34.840000000000003"/>
        <n v="36.28"/>
        <n v="119.77"/>
        <n v="18.28"/>
        <n v="5.31"/>
        <n v="16.89"/>
        <n v="27.22"/>
        <n v="13.89"/>
        <n v="14.13"/>
        <n v="5.14"/>
      </sharedItems>
    </cacheField>
    <cacheField name="EBITDA Margin" numFmtId="175">
      <sharedItems containsSemiMixedTypes="0" containsString="0" containsNumber="1" minValue="-19.079999999999998" maxValue="67.94"/>
    </cacheField>
    <cacheField name="Return on Assets" numFmtId="175">
      <sharedItems containsSemiMixedTypes="0" containsString="0" containsNumber="1" minValue="-16.059999999999999" maxValue="25.16"/>
    </cacheField>
    <cacheField name="Return on Equity" numFmtId="175">
      <sharedItems containsSemiMixedTypes="0" containsString="0" containsNumber="1" minValue="-44.02" maxValue="50.55"/>
    </cacheField>
    <cacheField name="Current Ratio" numFmtId="2">
      <sharedItems containsSemiMixedTypes="0" containsString="0" containsNumber="1" minValue="1.4" maxValue="9.24"/>
    </cacheField>
    <cacheField name="Debt/Equity Ratio" numFmtId="0">
      <sharedItems containsSemiMixedTypes="0" containsString="0" containsNumber="1" minValue="0" maxValue="0.77"/>
    </cacheField>
    <cacheField name="Interest Coverage Ratio" numFmtId="0">
      <sharedItems containsMixedTypes="1" containsNumber="1" minValue="-191.76" maxValue="4083.95" count="20">
        <n v="1734.24"/>
        <n v="2485.17"/>
        <n v="1520"/>
        <n v="722"/>
        <n v="1866.5"/>
        <n v="84.32"/>
        <n v="80.95"/>
        <n v="284.38"/>
        <n v="311.41000000000003"/>
        <n v="76.3"/>
        <n v="-191.76"/>
        <n v="141.09"/>
        <n v="16.5"/>
        <n v="18.14"/>
        <n v="59.86"/>
        <s v="—"/>
        <n v="145.61000000000001"/>
        <n v="65.63"/>
        <n v="353.89"/>
        <n v="4083.95"/>
      </sharedItems>
    </cacheField>
    <cacheField name="Asset Turnover" numFmtId="0">
      <sharedItems containsSemiMixedTypes="0" containsString="0" containsNumber="1" minValue="0.3" maxValue="2.22000000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0.27110000000000001"/>
    <n v="0.2029"/>
    <n v="5.3999999999999999E-2"/>
    <n v="0.16569999999999999"/>
    <n v="0.76"/>
    <n v="1.1399999999999999"/>
    <n v="3.04"/>
    <n v="0.75939999999999996"/>
  </r>
  <r>
    <x v="0"/>
    <x v="1"/>
    <n v="0.1613"/>
    <n v="0.23980000000000001"/>
    <n v="7.5499999999999998E-2"/>
    <n v="0.23269999999999999"/>
    <n v="0.78"/>
    <n v="0.94"/>
    <n v="4.09"/>
    <n v="0.71850000000000003"/>
  </r>
  <r>
    <x v="0"/>
    <x v="2"/>
    <n v="-0.16750000000000001"/>
    <n v="0.18970000000000001"/>
    <n v="4.3299999999999998E-2"/>
    <n v="0.13789999999999999"/>
    <n v="0.83"/>
    <n v="1.2"/>
    <n v="2.39"/>
    <n v="0.52649999999999997"/>
  </r>
  <r>
    <x v="0"/>
    <x v="3"/>
    <n v="0.10059999999999999"/>
    <n v="0.2717"/>
    <n v="6.2899999999999998E-2"/>
    <n v="0.17860000000000001"/>
    <n v="0.8"/>
    <n v="0.87"/>
    <n v="4.53"/>
    <n v="0.53080000000000005"/>
  </r>
  <r>
    <x v="0"/>
    <x v="4"/>
    <n v="0.68"/>
    <n v="0.2646"/>
    <n v="0.10249999999999999"/>
    <n v="0.26300000000000001"/>
    <n v="1.03"/>
    <n v="0.79"/>
    <n v="8.7799999999999994"/>
    <n v="8.0000000000000002E-3"/>
  </r>
  <r>
    <x v="1"/>
    <x v="0"/>
    <n v="0.159"/>
    <n v="0.1087"/>
    <n v="1.7299999999999999E-2"/>
    <n v="2.9000000000000001E-2"/>
    <n v="1.7"/>
    <n v="0.41"/>
    <n v="2.34"/>
    <n v="0.51739999999999997"/>
  </r>
  <r>
    <x v="1"/>
    <x v="1"/>
    <n v="6.8699999999999997E-2"/>
    <n v="8.77E-2"/>
    <n v="1.47E-2"/>
    <n v="2.4799999999999999E-2"/>
    <n v="1.68"/>
    <n v="0.4"/>
    <n v="2.08"/>
    <n v="0.56130000000000002"/>
  </r>
  <r>
    <x v="1"/>
    <x v="2"/>
    <n v="-0.12039999999999999"/>
    <n v="8.9300000000000004E-2"/>
    <n v="7.7000000000000002E-3"/>
    <n v="1.3599999999999999E-2"/>
    <n v="1.58"/>
    <n v="0.51"/>
    <n v="1.61"/>
    <n v="0.50260000000000005"/>
  </r>
  <r>
    <x v="1"/>
    <x v="3"/>
    <n v="6.1100000000000002E-2"/>
    <n v="8.8800000000000004E-2"/>
    <n v="1.12E-2"/>
    <n v="1.9800000000000002E-2"/>
    <n v="1.48"/>
    <n v="0.39"/>
    <n v="3.23"/>
    <n v="5.1000000000000004E-3"/>
  </r>
  <r>
    <x v="1"/>
    <x v="4"/>
    <n v="0.58430000000000004"/>
    <n v="0.16289999999999999"/>
    <n v="5.5500000000000001E-2"/>
    <n v="0.1011"/>
    <n v="1.37"/>
    <n v="0.35"/>
    <n v="8.2799999999999994"/>
    <n v="7.1999999999999998E-3"/>
  </r>
  <r>
    <x v="2"/>
    <x v="0"/>
    <n v="0.23230000000000001"/>
    <n v="0.17299999999999999"/>
    <n v="-6.0000000000000001E-3"/>
    <n v="-1.5800000000000002E-2"/>
    <n v="0.62"/>
    <n v="0.94"/>
    <n v="0.86"/>
    <n v="0.28399999999999997"/>
  </r>
  <r>
    <x v="2"/>
    <x v="1"/>
    <n v="0.62409999999999999"/>
    <n v="0.15140000000000001"/>
    <n v="-4.4999999999999997E-3"/>
    <n v="-1.1599999999999999E-2"/>
    <n v="0.57999999999999996"/>
    <n v="0.78"/>
    <n v="1.29"/>
    <n v="0.48049999999999998"/>
  </r>
  <r>
    <x v="2"/>
    <x v="2"/>
    <n v="-5.3699999999999998E-2"/>
    <n v="0.15190000000000001"/>
    <n v="1.04E-2"/>
    <n v="2.5999999999999999E-2"/>
    <n v="0.74"/>
    <n v="0.64"/>
    <n v="1.34"/>
    <n v="0.44540000000000002"/>
  </r>
  <r>
    <x v="2"/>
    <x v="3"/>
    <n v="0.26989999999999997"/>
    <n v="0.2742"/>
    <n v="0.10340000000000001"/>
    <n v="0.21909999999999999"/>
    <n v="1.33"/>
    <n v="0.51"/>
    <n v="5.25"/>
    <n v="0.48180000000000001"/>
  </r>
  <r>
    <x v="2"/>
    <x v="4"/>
    <n v="0.48409999999999997"/>
    <n v="0.1963"/>
    <n v="0.11020000000000001"/>
    <n v="0.20519999999999999"/>
    <n v="1.1200000000000001"/>
    <n v="0.33"/>
    <n v="10.7"/>
    <n v="6.8999999999999999E-3"/>
  </r>
  <r>
    <x v="3"/>
    <x v="0"/>
    <n v="0.2422"/>
    <n v="0.25869999999999999"/>
    <n v="3.3300000000000003E-2"/>
    <n v="6.7699999999999996E-2"/>
    <n v="1.35"/>
    <n v="0.41"/>
    <n v="4.5599999999999996"/>
    <n v="0.47639999999999999"/>
  </r>
  <r>
    <x v="3"/>
    <x v="1"/>
    <n v="0.18440000000000001"/>
    <n v="0.29120000000000001"/>
    <n v="7.6600000000000001E-2"/>
    <n v="0.14949999999999999"/>
    <n v="0.67"/>
    <n v="0.38"/>
    <n v="6.79"/>
    <n v="0.51349999999999996"/>
  </r>
  <r>
    <x v="3"/>
    <x v="2"/>
    <n v="-0.14410000000000001"/>
    <n v="0.24590000000000001"/>
    <n v="4.48E-2"/>
    <n v="9.0399999999999994E-2"/>
    <n v="0.65"/>
    <n v="0.53"/>
    <n v="3.74"/>
    <n v="0.40179999999999999"/>
  </r>
  <r>
    <x v="3"/>
    <x v="3"/>
    <n v="0.3921"/>
    <n v="0.32240000000000002"/>
    <n v="9.4600000000000004E-2"/>
    <n v="0.18079999999999999"/>
    <n v="0.97"/>
    <n v="0.34"/>
    <n v="6.14"/>
    <n v="5.1000000000000004E-3"/>
  </r>
  <r>
    <x v="3"/>
    <x v="4"/>
    <n v="0.53349999999999997"/>
    <n v="0.39629999999999999"/>
    <n v="0.1487"/>
    <n v="0.2631"/>
    <n v="0.57999999999999996"/>
    <n v="0.26"/>
    <n v="18.829999999999998"/>
    <n v="6.4000000000000003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6.17"/>
    <n v="21.02"/>
    <n v="21.08"/>
    <n v="5.63"/>
    <n v="0"/>
    <x v="0"/>
    <n v="0.73"/>
  </r>
  <r>
    <x v="0"/>
    <x v="1"/>
    <x v="1"/>
    <n v="48.42"/>
    <n v="25.16"/>
    <n v="25.22"/>
    <n v="7.1"/>
    <n v="0"/>
    <x v="1"/>
    <n v="0.76"/>
  </r>
  <r>
    <x v="0"/>
    <x v="2"/>
    <x v="2"/>
    <n v="39.869999999999997"/>
    <n v="14.2"/>
    <n v="14.23"/>
    <n v="8.56"/>
    <n v="0"/>
    <x v="2"/>
    <n v="0.6"/>
  </r>
  <r>
    <x v="0"/>
    <x v="3"/>
    <x v="3"/>
    <n v="37.68"/>
    <n v="11.66"/>
    <n v="11.69"/>
    <n v="7.6"/>
    <n v="0"/>
    <x v="3"/>
    <n v="0.56999999999999995"/>
  </r>
  <r>
    <x v="0"/>
    <x v="4"/>
    <x v="4"/>
    <n v="40.58"/>
    <n v="14.83"/>
    <n v="14.83"/>
    <n v="7.04"/>
    <n v="0"/>
    <x v="4"/>
    <n v="0.62"/>
  </r>
  <r>
    <x v="1"/>
    <x v="0"/>
    <x v="5"/>
    <n v="16.38"/>
    <n v="10.11"/>
    <n v="12.87"/>
    <n v="2.4"/>
    <n v="7.0000000000000007E-2"/>
    <x v="5"/>
    <n v="0.62"/>
  </r>
  <r>
    <x v="1"/>
    <x v="1"/>
    <x v="6"/>
    <n v="11.27"/>
    <n v="6.63"/>
    <n v="8.85"/>
    <n v="2.23"/>
    <n v="0.12"/>
    <x v="6"/>
    <n v="0.59"/>
  </r>
  <r>
    <x v="1"/>
    <x v="2"/>
    <x v="7"/>
    <n v="15.4"/>
    <n v="10.3"/>
    <n v="12.76"/>
    <n v="3.11"/>
    <n v="0"/>
    <x v="7"/>
    <n v="0.67"/>
  </r>
  <r>
    <x v="1"/>
    <x v="3"/>
    <x v="8"/>
    <n v="22.29"/>
    <n v="14.3"/>
    <n v="17.91"/>
    <n v="3.22"/>
    <n v="0.03"/>
    <x v="8"/>
    <n v="0.64"/>
  </r>
  <r>
    <x v="1"/>
    <x v="4"/>
    <x v="9"/>
    <n v="23.14"/>
    <n v="13.97"/>
    <n v="18.54"/>
    <n v="1.91"/>
    <n v="0.12"/>
    <x v="9"/>
    <n v="0.6"/>
  </r>
  <r>
    <x v="2"/>
    <x v="0"/>
    <x v="0"/>
    <n v="-19.079999999999998"/>
    <n v="-16.059999999999999"/>
    <n v="-44.02"/>
    <n v="1.4"/>
    <n v="0"/>
    <x v="10"/>
    <n v="1.42"/>
  </r>
  <r>
    <x v="2"/>
    <x v="1"/>
    <x v="10"/>
    <n v="7.57"/>
    <n v="5.3"/>
    <n v="23.77"/>
    <n v="1.48"/>
    <n v="0"/>
    <x v="11"/>
    <n v="2.2200000000000002"/>
  </r>
  <r>
    <x v="2"/>
    <x v="2"/>
    <x v="11"/>
    <n v="13.07"/>
    <n v="8.52"/>
    <n v="50.55"/>
    <n v="1.63"/>
    <n v="0.77"/>
    <x v="12"/>
    <n v="1.84"/>
  </r>
  <r>
    <x v="2"/>
    <x v="3"/>
    <x v="12"/>
    <n v="13.03"/>
    <n v="8.26"/>
    <n v="31.71"/>
    <n v="1.97"/>
    <n v="0.18"/>
    <x v="13"/>
    <n v="1.94"/>
  </r>
  <r>
    <x v="2"/>
    <x v="4"/>
    <x v="13"/>
    <n v="15.19"/>
    <n v="9.6999999999999993"/>
    <n v="28.85"/>
    <n v="1.82"/>
    <n v="0"/>
    <x v="14"/>
    <n v="1.77"/>
  </r>
  <r>
    <x v="3"/>
    <x v="0"/>
    <x v="0"/>
    <n v="56.66"/>
    <n v="8.02"/>
    <n v="8.32"/>
    <n v="2.58"/>
    <n v="0.03"/>
    <x v="15"/>
    <n v="0.3"/>
  </r>
  <r>
    <x v="3"/>
    <x v="1"/>
    <x v="14"/>
    <n v="59.45"/>
    <n v="8.02"/>
    <n v="11.32"/>
    <n v="2.31"/>
    <n v="0.02"/>
    <x v="16"/>
    <n v="0.34"/>
  </r>
  <r>
    <x v="3"/>
    <x v="2"/>
    <x v="15"/>
    <n v="11.23"/>
    <n v="-5.58"/>
    <n v="-5.66"/>
    <n v="2.95"/>
    <n v="0.01"/>
    <x v="17"/>
    <n v="0.41"/>
  </r>
  <r>
    <x v="3"/>
    <x v="3"/>
    <x v="16"/>
    <n v="63.17"/>
    <n v="16.45"/>
    <n v="16.53"/>
    <n v="2.64"/>
    <n v="0"/>
    <x v="18"/>
    <n v="0.4"/>
  </r>
  <r>
    <x v="3"/>
    <x v="4"/>
    <x v="17"/>
    <n v="67.94"/>
    <n v="17.96"/>
    <n v="18.02"/>
    <n v="9.24"/>
    <n v="0"/>
    <x v="19"/>
    <n v="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081DCF-2194-48CD-AFBA-C658ECF12866}"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F40" firstHeaderRow="1" firstDataRow="2" firstDataCol="1"/>
  <pivotFields count="10">
    <pivotField axis="axisCol" showAll="0">
      <items count="5">
        <item x="2"/>
        <item x="0"/>
        <item x="1"/>
        <item x="3"/>
        <item t="default"/>
      </items>
    </pivotField>
    <pivotField axis="axisRow" showAll="0">
      <items count="6">
        <item x="0"/>
        <item x="1"/>
        <item x="2"/>
        <item x="3"/>
        <item x="4"/>
        <item t="default"/>
      </items>
    </pivotField>
    <pivotField showAll="0"/>
    <pivotField numFmtId="175" showAll="0"/>
    <pivotField numFmtId="175" showAll="0"/>
    <pivotField numFmtId="175" showAll="0"/>
    <pivotField dataField="1" numFmtId="2" showAll="0"/>
    <pivotField showAll="0"/>
    <pivotField showAll="0"/>
    <pivotField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Current Ratio" fld="6" baseField="0" baseItem="0" numFmtId="2"/>
  </dataFields>
  <chartFormats count="9">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6" format="12" series="1">
      <pivotArea type="data" outline="0" fieldPosition="0">
        <references count="2">
          <reference field="4294967294" count="1" selected="0">
            <x v="0"/>
          </reference>
          <reference field="0" count="1" selected="0">
            <x v="0"/>
          </reference>
        </references>
      </pivotArea>
    </chartFormat>
    <chartFormat chart="6" format="13" series="1">
      <pivotArea type="data" outline="0" fieldPosition="0">
        <references count="2">
          <reference field="4294967294" count="1" selected="0">
            <x v="0"/>
          </reference>
          <reference field="0" count="1" selected="0">
            <x v="1"/>
          </reference>
        </references>
      </pivotArea>
    </chartFormat>
    <chartFormat chart="6" format="14" series="1">
      <pivotArea type="data" outline="0" fieldPosition="0">
        <references count="2">
          <reference field="4294967294" count="1" selected="0">
            <x v="0"/>
          </reference>
          <reference field="0" count="1" selected="0">
            <x v="2"/>
          </reference>
        </references>
      </pivotArea>
    </chartFormat>
    <chartFormat chart="6" format="1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610112-86E3-4312-97AD-E01D3CCABBEE}"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F30" firstHeaderRow="1" firstDataRow="2" firstDataCol="1"/>
  <pivotFields count="10">
    <pivotField axis="axisCol" showAll="0">
      <items count="5">
        <item x="2"/>
        <item x="0"/>
        <item x="1"/>
        <item x="3"/>
        <item t="default"/>
      </items>
    </pivotField>
    <pivotField axis="axisRow" showAll="0">
      <items count="6">
        <item x="0"/>
        <item x="1"/>
        <item x="2"/>
        <item x="3"/>
        <item x="4"/>
        <item t="default"/>
      </items>
    </pivotField>
    <pivotField showAll="0"/>
    <pivotField numFmtId="175" showAll="0"/>
    <pivotField numFmtId="175" showAll="0"/>
    <pivotField numFmtId="175" showAll="0"/>
    <pivotField numFmtId="2" showAll="0"/>
    <pivotField showAll="0"/>
    <pivotField dataField="1" showAll="0">
      <items count="21">
        <item x="10"/>
        <item x="12"/>
        <item x="13"/>
        <item x="14"/>
        <item x="17"/>
        <item x="9"/>
        <item x="6"/>
        <item x="5"/>
        <item x="11"/>
        <item x="16"/>
        <item x="7"/>
        <item x="8"/>
        <item x="18"/>
        <item x="3"/>
        <item x="2"/>
        <item x="0"/>
        <item x="4"/>
        <item x="1"/>
        <item x="19"/>
        <item x="15"/>
        <item t="default"/>
      </items>
    </pivotField>
    <pivotField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Interest Coverage Ratio" fld="8" baseField="1"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8" format="18" series="1">
      <pivotArea type="data" outline="0" fieldPosition="0">
        <references count="2">
          <reference field="4294967294" count="1" selected="0">
            <x v="0"/>
          </reference>
          <reference field="0" count="1" selected="0">
            <x v="0"/>
          </reference>
        </references>
      </pivotArea>
    </chartFormat>
    <chartFormat chart="8" format="19" series="1">
      <pivotArea type="data" outline="0" fieldPosition="0">
        <references count="2">
          <reference field="4294967294" count="1" selected="0">
            <x v="0"/>
          </reference>
          <reference field="0" count="1" selected="0">
            <x v="1"/>
          </reference>
        </references>
      </pivotArea>
    </chartFormat>
    <chartFormat chart="8" format="20" series="1">
      <pivotArea type="data" outline="0" fieldPosition="0">
        <references count="2">
          <reference field="4294967294" count="1" selected="0">
            <x v="0"/>
          </reference>
          <reference field="0" count="1" selected="0">
            <x v="2"/>
          </reference>
        </references>
      </pivotArea>
    </chartFormat>
    <chartFormat chart="8" format="2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6A41DF-7D24-46E3-912E-01742A6B775C}"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F20" firstHeaderRow="1" firstDataRow="2" firstDataCol="1"/>
  <pivotFields count="10">
    <pivotField axis="axisCol" showAll="0">
      <items count="5">
        <item x="2"/>
        <item x="0"/>
        <item x="1"/>
        <item x="3"/>
        <item t="default"/>
      </items>
    </pivotField>
    <pivotField axis="axisRow" showAll="0">
      <items count="6">
        <item x="0"/>
        <item x="1"/>
        <item x="2"/>
        <item x="3"/>
        <item x="4"/>
        <item t="default"/>
      </items>
    </pivotField>
    <pivotField showAll="0"/>
    <pivotField dataField="1" numFmtId="175" showAll="0"/>
    <pivotField numFmtId="175" showAll="0"/>
    <pivotField numFmtId="175" showAll="0"/>
    <pivotField numFmtId="2" showAll="0"/>
    <pivotField showAll="0"/>
    <pivotField showAll="0"/>
    <pivotField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EBITDA Margin" fld="3" baseField="0" baseItem="0" numFmtId="175"/>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6F897-0D58-46E1-8606-EE14685E9470}"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0" firstHeaderRow="1" firstDataRow="2" firstDataCol="1"/>
  <pivotFields count="10">
    <pivotField axis="axisCol" showAll="0">
      <items count="5">
        <item x="2"/>
        <item x="0"/>
        <item x="1"/>
        <item x="3"/>
        <item t="default"/>
      </items>
    </pivotField>
    <pivotField axis="axisRow" showAll="0">
      <items count="6">
        <item x="0"/>
        <item x="1"/>
        <item x="2"/>
        <item x="3"/>
        <item x="4"/>
        <item t="default"/>
      </items>
    </pivotField>
    <pivotField dataField="1" showAll="0"/>
    <pivotField numFmtId="175" showAll="0"/>
    <pivotField numFmtId="175" showAll="0"/>
    <pivotField numFmtId="175" showAll="0"/>
    <pivotField numFmtId="2" showAll="0"/>
    <pivotField showAll="0"/>
    <pivotField showAll="0"/>
    <pivotField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Revenue Growth" fld="2" baseField="1" baseItem="0"/>
  </dataFields>
  <chartFormats count="12">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5" format="12" series="1">
      <pivotArea type="data" outline="0" fieldPosition="0">
        <references count="2">
          <reference field="4294967294" count="1" selected="0">
            <x v="0"/>
          </reference>
          <reference field="0" count="1" selected="0">
            <x v="0"/>
          </reference>
        </references>
      </pivotArea>
    </chartFormat>
    <chartFormat chart="5" format="13" series="1">
      <pivotArea type="data" outline="0" fieldPosition="0">
        <references count="2">
          <reference field="4294967294" count="1" selected="0">
            <x v="0"/>
          </reference>
          <reference field="0" count="1" selected="0">
            <x v="1"/>
          </reference>
        </references>
      </pivotArea>
    </chartFormat>
    <chartFormat chart="5" format="14" series="1">
      <pivotArea type="data" outline="0" fieldPosition="0">
        <references count="2">
          <reference field="4294967294" count="1" selected="0">
            <x v="0"/>
          </reference>
          <reference field="0" count="1" selected="0">
            <x v="2"/>
          </reference>
        </references>
      </pivotArea>
    </chartFormat>
    <chartFormat chart="5" format="1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154DA-0CE4-48F2-A096-FE04404911A3}"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dataField="1" numFmtId="10" showAll="0"/>
    <pivotField numFmtId="10" showAll="0"/>
    <pivotField numFmtId="10" showAll="0"/>
    <pivotField numFmtId="10" showAll="0"/>
    <pivotField showAll="0"/>
    <pivotField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Revenue Growth" fld="2" baseField="0"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095643-8B4E-4545-96A8-DD52F2EB5859}"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dataField="1" numFmtId="10" showAll="0"/>
    <pivotField numFmtId="10" showAll="0"/>
    <pivotField numFmtId="10" showAll="0"/>
    <pivotField showAll="0"/>
    <pivotField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EBITDA Margin" fld="3" baseField="0" baseItem="0" numFmtId="9"/>
  </dataFields>
  <formats count="1">
    <format dxfId="15">
      <pivotArea outline="0" collapsedLevelsAreSubtotals="1" fieldPosition="0"/>
    </format>
  </format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87EF97-C554-4976-832A-2F8E23745A97}"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dataField="1" numFmtId="10" showAll="0"/>
    <pivotField numFmtId="10" showAll="0"/>
    <pivotField showAll="0"/>
    <pivotField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Return on Assets" fld="4" baseField="0" baseItem="0" numFmtId="10"/>
  </dataFields>
  <formats count="1">
    <format dxfId="14">
      <pivotArea outline="0" collapsedLevelsAreSubtotals="1" fieldPosition="0"/>
    </format>
  </formats>
  <chartFormats count="3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11"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12"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13"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14"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15"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16"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17"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18"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19"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20"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21"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22" series="1">
      <pivotArea type="data" outline="0" fieldPosition="0">
        <references count="3">
          <reference field="4294967294" count="1" selected="0">
            <x v="0"/>
          </reference>
          <reference field="0" count="1" selected="0">
            <x v="1"/>
          </reference>
          <reference field="1" count="1" selected="0">
            <x v="4"/>
          </reference>
        </references>
      </pivotArea>
    </chartFormat>
    <chartFormat chart="0" format="23"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24" series="1">
      <pivotArea type="data" outline="0" fieldPosition="0">
        <references count="3">
          <reference field="4294967294" count="1" selected="0">
            <x v="0"/>
          </reference>
          <reference field="0" count="1" selected="0">
            <x v="3"/>
          </reference>
          <reference field="1" count="1" selected="0">
            <x v="4"/>
          </reference>
        </references>
      </pivotArea>
    </chartFormat>
    <chartFormat chart="0" format="25"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26"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27"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28"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29"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30" series="1">
      <pivotArea type="data" outline="0" fieldPosition="0">
        <references count="2">
          <reference field="4294967294" count="1" selected="0">
            <x v="0"/>
          </reference>
          <reference field="0" count="1" selected="0">
            <x v="0"/>
          </reference>
        </references>
      </pivotArea>
    </chartFormat>
    <chartFormat chart="0" format="31" series="1">
      <pivotArea type="data" outline="0" fieldPosition="0">
        <references count="2">
          <reference field="4294967294" count="1" selected="0">
            <x v="0"/>
          </reference>
          <reference field="0" count="1" selected="0">
            <x v="1"/>
          </reference>
        </references>
      </pivotArea>
    </chartFormat>
    <chartFormat chart="0" format="32" series="1">
      <pivotArea type="data" outline="0" fieldPosition="0">
        <references count="2">
          <reference field="4294967294" count="1" selected="0">
            <x v="0"/>
          </reference>
          <reference field="0" count="1" selected="0">
            <x v="2"/>
          </reference>
        </references>
      </pivotArea>
    </chartFormat>
    <chartFormat chart="0" format="3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1A8932-5748-45A8-9AE1-1CC010582889}"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numFmtId="10" showAll="0"/>
    <pivotField dataField="1" numFmtId="10" showAll="0"/>
    <pivotField showAll="0"/>
    <pivotField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Return on Equity" fld="5" baseField="0" baseItem="0" numFmtId="10"/>
  </dataFields>
  <formats count="1">
    <format dxfId="13">
      <pivotArea outline="0" collapsedLevelsAreSubtotals="1" fieldPosition="0"/>
    </format>
  </format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254260-7278-46C2-A05A-7496DE18B2C1}"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numFmtId="10" showAll="0"/>
    <pivotField numFmtId="10" showAll="0"/>
    <pivotField dataField="1" showAll="0"/>
    <pivotField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Current Ratio" fld="6" baseField="0"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08B0EE-C104-46D3-9D46-C987BEA2E53B}"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numFmtId="10" showAll="0"/>
    <pivotField numFmtId="10" showAll="0"/>
    <pivotField showAll="0"/>
    <pivotField dataField="1" showAll="0"/>
    <pivotField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Debt/Equity Ratio" fld="7" baseField="0"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B9507C-326E-45D0-81E3-25FF36D74091}"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numFmtId="10" showAll="0"/>
    <pivotField numFmtId="10" showAll="0"/>
    <pivotField showAll="0"/>
    <pivotField showAll="0"/>
    <pivotField dataField="1" showAll="0"/>
    <pivotField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Interest Coverage Ratio" fld="8" baseField="0" baseItem="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C779FC-F4D4-493D-86AD-035B8240D6FC}"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0">
    <pivotField axis="axisCol" showAll="0">
      <items count="5">
        <item x="1"/>
        <item x="2"/>
        <item x="0"/>
        <item x="3"/>
        <item t="default"/>
      </items>
    </pivotField>
    <pivotField axis="axisRow" showAll="0">
      <items count="6">
        <item x="0"/>
        <item x="1"/>
        <item x="2"/>
        <item x="3"/>
        <item x="4"/>
        <item t="default"/>
      </items>
    </pivotField>
    <pivotField numFmtId="10" showAll="0"/>
    <pivotField numFmtId="10" showAll="0"/>
    <pivotField numFmtId="10" showAll="0"/>
    <pivotField numFmtId="10" showAll="0"/>
    <pivotField showAll="0"/>
    <pivotField showAll="0"/>
    <pivotField showAll="0"/>
    <pivotField dataField="1" numFmtId="10" showAll="0"/>
  </pivotFields>
  <rowFields count="1">
    <field x="1"/>
  </rowFields>
  <rowItems count="6">
    <i>
      <x/>
    </i>
    <i>
      <x v="1"/>
    </i>
    <i>
      <x v="2"/>
    </i>
    <i>
      <x v="3"/>
    </i>
    <i>
      <x v="4"/>
    </i>
    <i t="grand">
      <x/>
    </i>
  </rowItems>
  <colFields count="1">
    <field x="0"/>
  </colFields>
  <colItems count="5">
    <i>
      <x/>
    </i>
    <i>
      <x v="1"/>
    </i>
    <i>
      <x v="2"/>
    </i>
    <i>
      <x v="3"/>
    </i>
    <i t="grand">
      <x/>
    </i>
  </colItems>
  <dataFields count="1">
    <dataField name="Sum of Asset Turnover" fld="9" baseField="0" baseItem="0" numFmtId="9"/>
  </dataFields>
  <formats count="1">
    <format dxfId="12">
      <pivotArea outline="0" collapsedLevelsAreSubtotals="1" fieldPosition="0"/>
    </format>
  </formats>
  <chartFormats count="16">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3" format="16" series="1">
      <pivotArea type="data" outline="0" fieldPosition="0">
        <references count="2">
          <reference field="4294967294" count="1" selected="0">
            <x v="0"/>
          </reference>
          <reference field="0" count="1" selected="0">
            <x v="0"/>
          </reference>
        </references>
      </pivotArea>
    </chartFormat>
    <chartFormat chart="3" format="17" series="1">
      <pivotArea type="data" outline="0" fieldPosition="0">
        <references count="2">
          <reference field="4294967294" count="1" selected="0">
            <x v="0"/>
          </reference>
          <reference field="0" count="1" selected="0">
            <x v="1"/>
          </reference>
        </references>
      </pivotArea>
    </chartFormat>
    <chartFormat chart="3" format="18" series="1">
      <pivotArea type="data" outline="0" fieldPosition="0">
        <references count="2">
          <reference field="4294967294" count="1" selected="0">
            <x v="0"/>
          </reference>
          <reference field="0" count="1" selected="0">
            <x v="2"/>
          </reference>
        </references>
      </pivotArea>
    </chartFormat>
    <chartFormat chart="3" format="19" series="1">
      <pivotArea type="data" outline="0" fieldPosition="0">
        <references count="2">
          <reference field="4294967294" count="1" selected="0">
            <x v="0"/>
          </reference>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160219-EC9E-493E-8FFB-244FA7034B8F}" name="Table14" displayName="Table14" ref="B3:K23" totalsRowShown="0" headerRowDxfId="0" dataDxfId="11" headerRowCellStyle="Heading 3" dataCellStyle="Heading 3">
  <autoFilter ref="B3:K23" xr:uid="{B3160219-EC9E-493E-8FFB-244FA7034B8F}"/>
  <tableColumns count="10">
    <tableColumn id="1" xr3:uid="{011C56F6-C3FD-414E-A6DD-D58E6E8C6C42}" name="Company Name" dataDxfId="10" dataCellStyle="Heading 3"/>
    <tableColumn id="2" xr3:uid="{796F2051-86E2-4AF9-A575-E69469E5548D}" name="Year" dataDxfId="9" dataCellStyle="Heading 3"/>
    <tableColumn id="3" xr3:uid="{6725DE0A-9BF8-484A-A2FB-AB1153EF706C}" name="Revenue Growth" dataDxfId="8" dataCellStyle="Heading 3"/>
    <tableColumn id="4" xr3:uid="{03BF80D6-8DEE-4C94-A2E1-B36CA6ED352F}" name="EBITDA Margin" dataDxfId="7" dataCellStyle="Heading 3"/>
    <tableColumn id="5" xr3:uid="{ADB249FF-3F96-465B-BE1E-23E56B5DA814}" name="Return on Assets" dataDxfId="6" dataCellStyle="Heading 3"/>
    <tableColumn id="6" xr3:uid="{C1572D92-71E1-4119-8095-9BE58DCAC741}" name="Return on Equity" dataDxfId="5" dataCellStyle="Heading 3"/>
    <tableColumn id="7" xr3:uid="{3A6401BD-0859-45F4-8035-AFB6DA7FAE18}" name="Current Ratio" dataDxfId="4" dataCellStyle="Heading 3"/>
    <tableColumn id="8" xr3:uid="{EAC584CC-30C1-4CF6-B3DC-FCFD8EAD9EAE}" name="Debt/Equity Ratio" dataDxfId="3" dataCellStyle="Heading 3"/>
    <tableColumn id="9" xr3:uid="{CBDCA3B3-184B-46BC-A5AD-CAF718874B8B}" name="Interest Coverage Ratio" dataDxfId="2" dataCellStyle="Heading 3"/>
    <tableColumn id="10" xr3:uid="{0B5E67DE-BC76-447E-9619-EFCFF5F176B2}" name="Asset Turnover" dataDxfId="1" dataCellStyle="Heading 3"/>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moneycontrol.com/stocks/marketinfo/marketcap/bse/pharmaceuticals-drugs.html" TargetMode="External"/><Relationship Id="rId3" Type="http://schemas.openxmlformats.org/officeDocument/2006/relationships/hyperlink" Target="http://www.worldgovernmentbonds.com/bond-historical-data/india/10-years/" TargetMode="External"/><Relationship Id="rId7" Type="http://schemas.openxmlformats.org/officeDocument/2006/relationships/hyperlink" Target="https://www.moneycontrol.com/india/stockpricequote/steel-large/jswsteel/JSW01" TargetMode="External"/><Relationship Id="rId2" Type="http://schemas.openxmlformats.org/officeDocument/2006/relationships/hyperlink" Target="https://knoema.com/NYCCDSRP2019JAN/country-default-spreads-and-risk-premiums?tsId=1004460" TargetMode="External"/><Relationship Id="rId1" Type="http://schemas.openxmlformats.org/officeDocument/2006/relationships/hyperlink" Target="https://data.worldbank.org/indicator/NY.GDP.MKTP.KD.ZG?locations=IN" TargetMode="External"/><Relationship Id="rId6" Type="http://schemas.openxmlformats.org/officeDocument/2006/relationships/hyperlink" Target="https://www.ibef.org/industry/steel/showcase/tata-steel" TargetMode="External"/><Relationship Id="rId5" Type="http://schemas.openxmlformats.org/officeDocument/2006/relationships/hyperlink" Target="https://awsone.capitaline.com/index.html" TargetMode="External"/><Relationship Id="rId4" Type="http://schemas.openxmlformats.org/officeDocument/2006/relationships/hyperlink" Target="https://www.bseindia.com/markets/equity/EQReports/StockPrcHistori.aspx?expandable=7&amp;scripcode=500470&amp;flag=sp&amp;Submit=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FEF-B87B-4BE8-857D-9463EB24AEBE}">
  <dimension ref="A1:W100"/>
  <sheetViews>
    <sheetView showGridLines="0" topLeftCell="C46" zoomScale="59" workbookViewId="0">
      <selection activeCell="N56" sqref="N56"/>
    </sheetView>
  </sheetViews>
  <sheetFormatPr defaultRowHeight="14.4" x14ac:dyDescent="0.3"/>
  <cols>
    <col min="1" max="1" width="34.88671875" bestFit="1" customWidth="1"/>
    <col min="2" max="7" width="11" customWidth="1"/>
    <col min="9" max="9" width="34.88671875" bestFit="1" customWidth="1"/>
    <col min="10" max="10" width="10.109375" customWidth="1"/>
    <col min="11" max="15" width="9.44140625" bestFit="1" customWidth="1"/>
    <col min="17" max="17" width="34.88671875" bestFit="1" customWidth="1"/>
    <col min="18" max="23" width="10.21875" customWidth="1"/>
  </cols>
  <sheetData>
    <row r="1" spans="1:23" s="8" customFormat="1" ht="25.5" customHeight="1" x14ac:dyDescent="0.35">
      <c r="A1" s="39" t="s">
        <v>309</v>
      </c>
      <c r="B1" s="40"/>
      <c r="C1" s="40"/>
      <c r="D1" s="40"/>
      <c r="E1" s="40"/>
      <c r="F1" s="40"/>
      <c r="G1" s="40"/>
      <c r="I1" s="39" t="s">
        <v>331</v>
      </c>
      <c r="J1" s="40"/>
      <c r="K1" s="40"/>
      <c r="L1" s="40"/>
      <c r="M1" s="40"/>
      <c r="N1" s="40"/>
      <c r="O1" s="40"/>
      <c r="Q1" s="39" t="s">
        <v>334</v>
      </c>
      <c r="R1" s="40"/>
      <c r="S1" s="40"/>
      <c r="T1" s="40"/>
      <c r="U1" s="40"/>
      <c r="V1" s="40"/>
      <c r="W1" s="40"/>
    </row>
    <row r="2" spans="1:23" x14ac:dyDescent="0.3">
      <c r="A2" s="2" t="s">
        <v>3</v>
      </c>
      <c r="B2" s="2">
        <v>2017</v>
      </c>
      <c r="C2" s="2">
        <v>2018</v>
      </c>
      <c r="D2" s="2">
        <v>2019</v>
      </c>
      <c r="E2" s="2">
        <v>2020</v>
      </c>
      <c r="F2" s="2">
        <v>2021</v>
      </c>
      <c r="G2" s="2">
        <v>2022</v>
      </c>
      <c r="I2" s="2" t="s">
        <v>3</v>
      </c>
      <c r="J2" s="2">
        <v>2017</v>
      </c>
      <c r="K2" s="2">
        <v>2018</v>
      </c>
      <c r="L2" s="2">
        <v>2019</v>
      </c>
      <c r="M2" s="2">
        <v>2020</v>
      </c>
      <c r="N2" s="2">
        <v>2021</v>
      </c>
      <c r="O2" s="2">
        <v>2022</v>
      </c>
      <c r="Q2" s="2" t="s">
        <v>3</v>
      </c>
      <c r="R2" s="2">
        <v>201703</v>
      </c>
      <c r="S2" s="2">
        <v>201803</v>
      </c>
      <c r="T2" s="2">
        <v>201903</v>
      </c>
      <c r="U2" s="2">
        <v>202003</v>
      </c>
      <c r="V2" s="2">
        <v>202103</v>
      </c>
      <c r="W2" s="2">
        <v>202203</v>
      </c>
    </row>
    <row r="3" spans="1:23" x14ac:dyDescent="0.3">
      <c r="A3" s="3" t="s">
        <v>310</v>
      </c>
      <c r="B3" s="4">
        <v>53260.959999999999</v>
      </c>
      <c r="C3" s="4">
        <v>60519.37</v>
      </c>
      <c r="D3" s="4">
        <v>70610.92</v>
      </c>
      <c r="E3" s="4">
        <v>60435.97</v>
      </c>
      <c r="F3" s="4">
        <v>84132.92</v>
      </c>
      <c r="G3" s="4">
        <v>129021.35</v>
      </c>
      <c r="I3" s="3" t="s">
        <v>332</v>
      </c>
      <c r="J3" s="5"/>
      <c r="K3" s="5"/>
      <c r="L3" s="5"/>
      <c r="M3" s="5"/>
      <c r="N3" s="5"/>
      <c r="O3" s="5"/>
      <c r="Q3" s="3" t="s">
        <v>82</v>
      </c>
      <c r="R3" s="5"/>
      <c r="S3" s="5"/>
      <c r="T3" s="5"/>
      <c r="U3" s="5"/>
      <c r="V3" s="5"/>
      <c r="W3" s="5"/>
    </row>
    <row r="4" spans="1:23" x14ac:dyDescent="0.3">
      <c r="A4" s="3" t="s">
        <v>215</v>
      </c>
      <c r="B4" s="4">
        <v>5267.94</v>
      </c>
      <c r="C4" s="3">
        <v>902.55</v>
      </c>
      <c r="D4" s="3">
        <v>0</v>
      </c>
      <c r="E4" s="3">
        <v>0</v>
      </c>
      <c r="F4" s="3">
        <v>0</v>
      </c>
      <c r="G4" s="3">
        <v>0</v>
      </c>
      <c r="I4" s="3" t="s">
        <v>8</v>
      </c>
      <c r="J4" s="5"/>
      <c r="K4" s="5"/>
      <c r="L4" s="5"/>
      <c r="M4" s="5"/>
      <c r="N4" s="5"/>
      <c r="O4" s="5"/>
      <c r="Q4" s="3" t="s">
        <v>83</v>
      </c>
      <c r="R4" s="3">
        <v>974.68</v>
      </c>
      <c r="S4" s="3">
        <v>905.21</v>
      </c>
      <c r="T4" s="4">
        <v>4588.8900000000003</v>
      </c>
      <c r="U4" s="3">
        <v>544.85</v>
      </c>
      <c r="V4" s="4">
        <v>1717.25</v>
      </c>
      <c r="W4" s="4">
        <v>2221.31</v>
      </c>
    </row>
    <row r="5" spans="1:23" x14ac:dyDescent="0.3">
      <c r="A5" s="3" t="s">
        <v>216</v>
      </c>
      <c r="B5" s="4">
        <v>47993.02</v>
      </c>
      <c r="C5" s="4">
        <v>59616.82</v>
      </c>
      <c r="D5" s="4">
        <v>70610.92</v>
      </c>
      <c r="E5" s="4">
        <v>60435.97</v>
      </c>
      <c r="F5" s="4">
        <v>84132.92</v>
      </c>
      <c r="G5" s="4">
        <v>129021.35</v>
      </c>
      <c r="I5" s="3" t="s">
        <v>9</v>
      </c>
      <c r="J5" s="4">
        <v>78731.11</v>
      </c>
      <c r="K5" s="4">
        <v>77402.350000000006</v>
      </c>
      <c r="L5" s="4">
        <v>77018.31</v>
      </c>
      <c r="M5" s="4">
        <v>79480.429999999993</v>
      </c>
      <c r="N5" s="4">
        <v>108051.56</v>
      </c>
      <c r="O5" s="4">
        <v>108832.39</v>
      </c>
      <c r="Q5" s="3" t="s">
        <v>84</v>
      </c>
      <c r="R5" s="4">
        <v>11166.64</v>
      </c>
      <c r="S5" s="4">
        <v>11791.45</v>
      </c>
      <c r="T5" s="4">
        <v>15193.11</v>
      </c>
      <c r="U5" s="4">
        <v>13453.66</v>
      </c>
      <c r="V5" s="4">
        <v>37554.769999999997</v>
      </c>
      <c r="W5" s="4">
        <v>41986.12</v>
      </c>
    </row>
    <row r="6" spans="1:23" x14ac:dyDescent="0.3">
      <c r="A6" s="3" t="s">
        <v>165</v>
      </c>
      <c r="B6" s="3">
        <v>414.46</v>
      </c>
      <c r="C6" s="3">
        <v>763.66</v>
      </c>
      <c r="D6" s="4">
        <v>2405.08</v>
      </c>
      <c r="E6" s="3">
        <v>404.12</v>
      </c>
      <c r="F6" s="3">
        <v>755.11</v>
      </c>
      <c r="G6" s="4">
        <v>1452.02</v>
      </c>
      <c r="I6" s="3" t="s">
        <v>10</v>
      </c>
      <c r="J6" s="4">
        <v>71778.97</v>
      </c>
      <c r="K6" s="4">
        <v>70942.899999999994</v>
      </c>
      <c r="L6" s="4">
        <v>70416.820000000007</v>
      </c>
      <c r="M6" s="4">
        <v>66392.350000000006</v>
      </c>
      <c r="N6" s="4">
        <v>90404.59</v>
      </c>
      <c r="O6" s="4">
        <v>87946.22</v>
      </c>
      <c r="Q6" s="3" t="s">
        <v>85</v>
      </c>
      <c r="R6" s="3">
        <v>5356.93</v>
      </c>
      <c r="S6" s="3">
        <v>6638.25</v>
      </c>
      <c r="T6" s="3">
        <v>16227.25</v>
      </c>
      <c r="U6" s="3">
        <v>6610.98</v>
      </c>
      <c r="V6" s="3">
        <v>18609.84</v>
      </c>
      <c r="W6" s="3">
        <v>44090.65</v>
      </c>
    </row>
    <row r="7" spans="1:23" x14ac:dyDescent="0.3">
      <c r="A7" s="3" t="s">
        <v>217</v>
      </c>
      <c r="B7" s="4">
        <v>48407.48</v>
      </c>
      <c r="C7" s="4">
        <v>60380.480000000003</v>
      </c>
      <c r="D7" s="4">
        <v>73016</v>
      </c>
      <c r="E7" s="4">
        <v>60840.09</v>
      </c>
      <c r="F7" s="4">
        <v>84888.03</v>
      </c>
      <c r="G7" s="4">
        <v>130473.37</v>
      </c>
      <c r="I7" s="3" t="s">
        <v>11</v>
      </c>
      <c r="J7" s="4">
        <v>6125.35</v>
      </c>
      <c r="K7" s="4">
        <v>5641.5</v>
      </c>
      <c r="L7" s="4">
        <v>5686.02</v>
      </c>
      <c r="M7" s="4">
        <v>8070.41</v>
      </c>
      <c r="N7" s="4">
        <v>10499.49</v>
      </c>
      <c r="O7" s="4">
        <v>14159.32</v>
      </c>
      <c r="Q7" s="3" t="s">
        <v>86</v>
      </c>
      <c r="R7" s="3">
        <v>3541.55</v>
      </c>
      <c r="S7" s="3">
        <v>3727.46</v>
      </c>
      <c r="T7" s="3">
        <v>3802.96</v>
      </c>
      <c r="U7" s="3">
        <v>3920.12</v>
      </c>
      <c r="V7" s="3">
        <v>5469.26</v>
      </c>
      <c r="W7" s="3">
        <v>5463.69</v>
      </c>
    </row>
    <row r="8" spans="1:23" x14ac:dyDescent="0.3">
      <c r="A8" s="3" t="s">
        <v>218</v>
      </c>
      <c r="B8" s="5"/>
      <c r="C8" s="5"/>
      <c r="D8" s="5"/>
      <c r="E8" s="5"/>
      <c r="F8" s="5"/>
      <c r="G8" s="5"/>
      <c r="I8" s="3" t="s">
        <v>12</v>
      </c>
      <c r="J8" s="3">
        <v>788.18</v>
      </c>
      <c r="K8" s="3">
        <v>786.18</v>
      </c>
      <c r="L8" s="3">
        <v>805.2</v>
      </c>
      <c r="M8" s="3">
        <v>727.72</v>
      </c>
      <c r="N8" s="3">
        <v>855.73</v>
      </c>
      <c r="O8" s="3">
        <v>806.03</v>
      </c>
      <c r="Q8" s="3" t="s">
        <v>87</v>
      </c>
      <c r="R8" s="3">
        <v>2290.69</v>
      </c>
      <c r="S8" s="3">
        <v>2022.24</v>
      </c>
      <c r="T8" s="3">
        <v>550.28</v>
      </c>
      <c r="U8" s="3">
        <v>2859.43</v>
      </c>
      <c r="V8" s="3">
        <v>4001.89</v>
      </c>
      <c r="W8" s="3">
        <v>1666.51</v>
      </c>
    </row>
    <row r="9" spans="1:23" x14ac:dyDescent="0.3">
      <c r="A9" s="3" t="s">
        <v>311</v>
      </c>
      <c r="B9" s="4">
        <v>12496.78</v>
      </c>
      <c r="C9" s="4">
        <v>16877.63</v>
      </c>
      <c r="D9" s="4">
        <v>19840.29</v>
      </c>
      <c r="E9" s="4">
        <v>17407.03</v>
      </c>
      <c r="F9" s="4">
        <v>20757.04</v>
      </c>
      <c r="G9" s="4">
        <v>35256.980000000003</v>
      </c>
      <c r="I9" s="3" t="s">
        <v>13</v>
      </c>
      <c r="J9" s="3">
        <v>38.61</v>
      </c>
      <c r="K9" s="3">
        <v>31.77</v>
      </c>
      <c r="L9" s="3">
        <v>110.27</v>
      </c>
      <c r="M9" s="3">
        <v>176.64</v>
      </c>
      <c r="N9" s="3">
        <v>408.79</v>
      </c>
      <c r="O9" s="3">
        <v>382.64</v>
      </c>
      <c r="Q9" s="3" t="s">
        <v>88</v>
      </c>
      <c r="R9" s="3">
        <v>0</v>
      </c>
      <c r="S9" s="3">
        <v>-88.57</v>
      </c>
      <c r="T9" s="3">
        <v>-96.25</v>
      </c>
      <c r="U9" s="3">
        <v>-89.73</v>
      </c>
      <c r="V9" s="3">
        <v>-68.11</v>
      </c>
      <c r="W9" s="3">
        <v>-243.92</v>
      </c>
    </row>
    <row r="10" spans="1:23" x14ac:dyDescent="0.3">
      <c r="A10" s="3" t="s">
        <v>312</v>
      </c>
      <c r="B10" s="3">
        <v>0</v>
      </c>
      <c r="C10" s="3">
        <v>0</v>
      </c>
      <c r="D10" s="3">
        <v>0</v>
      </c>
      <c r="E10" s="3">
        <v>0</v>
      </c>
      <c r="F10" s="3">
        <v>0</v>
      </c>
      <c r="G10" s="3">
        <v>0</v>
      </c>
      <c r="I10" s="3" t="s">
        <v>14</v>
      </c>
      <c r="J10" s="3">
        <v>0</v>
      </c>
      <c r="K10" s="3">
        <v>0</v>
      </c>
      <c r="L10" s="3">
        <v>0</v>
      </c>
      <c r="M10" s="3">
        <v>0</v>
      </c>
      <c r="N10" s="3">
        <v>0</v>
      </c>
      <c r="O10" s="3">
        <v>0</v>
      </c>
      <c r="Q10" s="3" t="s">
        <v>89</v>
      </c>
      <c r="R10" s="3">
        <v>0</v>
      </c>
      <c r="S10" s="3">
        <v>40.479999999999997</v>
      </c>
      <c r="T10" s="3">
        <v>1.42</v>
      </c>
      <c r="U10" s="3">
        <v>1.2</v>
      </c>
      <c r="V10" s="3">
        <v>-22.88</v>
      </c>
      <c r="W10" s="3">
        <v>-17.28</v>
      </c>
    </row>
    <row r="11" spans="1:23" x14ac:dyDescent="0.3">
      <c r="A11" s="3" t="s">
        <v>313</v>
      </c>
      <c r="B11" s="3">
        <v>881.18</v>
      </c>
      <c r="C11" s="3">
        <v>647.21</v>
      </c>
      <c r="D11" s="4">
        <v>1807.85</v>
      </c>
      <c r="E11" s="4">
        <v>1563.1</v>
      </c>
      <c r="F11" s="4">
        <v>1688.84</v>
      </c>
      <c r="G11" s="4">
        <v>4089.03</v>
      </c>
      <c r="I11" s="3" t="s">
        <v>15</v>
      </c>
      <c r="J11" s="3">
        <v>0</v>
      </c>
      <c r="K11" s="3">
        <v>0</v>
      </c>
      <c r="L11" s="3">
        <v>0</v>
      </c>
      <c r="M11" s="3">
        <v>0</v>
      </c>
      <c r="N11" s="3">
        <v>0</v>
      </c>
      <c r="O11" s="3">
        <v>0</v>
      </c>
      <c r="Q11" s="3" t="s">
        <v>90</v>
      </c>
      <c r="R11" s="3">
        <v>-0.97</v>
      </c>
      <c r="S11" s="3">
        <v>0</v>
      </c>
      <c r="T11" s="3">
        <v>0</v>
      </c>
      <c r="U11" s="3">
        <v>0</v>
      </c>
      <c r="V11" s="3">
        <v>0</v>
      </c>
      <c r="W11" s="3">
        <v>0</v>
      </c>
    </row>
    <row r="12" spans="1:23" x14ac:dyDescent="0.3">
      <c r="A12" s="3" t="s">
        <v>314</v>
      </c>
      <c r="B12" s="4">
        <v>-1329.65</v>
      </c>
      <c r="C12" s="3">
        <v>545.36</v>
      </c>
      <c r="D12" s="3">
        <v>-554.33000000000004</v>
      </c>
      <c r="E12" s="3">
        <v>-564.4</v>
      </c>
      <c r="F12" s="4">
        <v>2176.56</v>
      </c>
      <c r="G12" s="4">
        <v>-1820.87</v>
      </c>
      <c r="I12" s="3" t="s">
        <v>16</v>
      </c>
      <c r="J12" s="3">
        <v>0</v>
      </c>
      <c r="K12" s="3">
        <v>0</v>
      </c>
      <c r="L12" s="3">
        <v>0</v>
      </c>
      <c r="M12" s="3">
        <v>0</v>
      </c>
      <c r="N12" s="3">
        <v>0</v>
      </c>
      <c r="O12" s="3">
        <v>0</v>
      </c>
      <c r="Q12" s="3" t="s">
        <v>91</v>
      </c>
      <c r="R12" s="3">
        <v>0</v>
      </c>
      <c r="S12" s="3">
        <v>0</v>
      </c>
      <c r="T12" s="3">
        <v>0</v>
      </c>
      <c r="U12" s="3">
        <v>0</v>
      </c>
      <c r="V12" s="3">
        <v>0</v>
      </c>
      <c r="W12" s="3">
        <v>0</v>
      </c>
    </row>
    <row r="13" spans="1:23" x14ac:dyDescent="0.3">
      <c r="A13" s="3" t="s">
        <v>315</v>
      </c>
      <c r="B13" s="4">
        <v>4605.13</v>
      </c>
      <c r="C13" s="4">
        <v>4828.8500000000004</v>
      </c>
      <c r="D13" s="4">
        <v>5131.0600000000004</v>
      </c>
      <c r="E13" s="4">
        <v>5036.62</v>
      </c>
      <c r="F13" s="4">
        <v>5741.94</v>
      </c>
      <c r="G13" s="4">
        <v>6365.8</v>
      </c>
      <c r="I13" s="3" t="s">
        <v>17</v>
      </c>
      <c r="J13" s="5"/>
      <c r="K13" s="5"/>
      <c r="L13" s="5"/>
      <c r="M13" s="5"/>
      <c r="N13" s="5"/>
      <c r="O13" s="5"/>
      <c r="Q13" s="3" t="s">
        <v>92</v>
      </c>
      <c r="R13" s="3">
        <v>15.47</v>
      </c>
      <c r="S13" s="3">
        <v>-88.17</v>
      </c>
      <c r="T13" s="3">
        <v>-1.27</v>
      </c>
      <c r="U13" s="3">
        <v>-85.86</v>
      </c>
      <c r="V13" s="3">
        <v>-20.329999999999998</v>
      </c>
      <c r="W13" s="3">
        <v>-851.6</v>
      </c>
    </row>
    <row r="14" spans="1:23" x14ac:dyDescent="0.3">
      <c r="A14" s="3" t="s">
        <v>316</v>
      </c>
      <c r="B14" s="4">
        <v>2688.55</v>
      </c>
      <c r="C14" s="4">
        <v>2810.62</v>
      </c>
      <c r="D14" s="4">
        <v>2823.58</v>
      </c>
      <c r="E14" s="4">
        <v>3031.01</v>
      </c>
      <c r="F14" s="4">
        <v>4541.0200000000004</v>
      </c>
      <c r="G14" s="4">
        <v>2792.08</v>
      </c>
      <c r="I14" s="3" t="s">
        <v>18</v>
      </c>
      <c r="J14" s="3">
        <v>0</v>
      </c>
      <c r="K14" s="3">
        <v>0</v>
      </c>
      <c r="L14" s="3">
        <v>0</v>
      </c>
      <c r="M14" s="3">
        <v>0</v>
      </c>
      <c r="N14" s="3">
        <v>0</v>
      </c>
      <c r="O14" s="3">
        <v>0</v>
      </c>
      <c r="Q14" s="3" t="s">
        <v>93</v>
      </c>
      <c r="R14" s="3">
        <v>0</v>
      </c>
      <c r="S14" s="3">
        <v>0</v>
      </c>
      <c r="T14" s="3">
        <v>0</v>
      </c>
      <c r="U14" s="3">
        <v>0</v>
      </c>
      <c r="V14" s="3">
        <v>0</v>
      </c>
      <c r="W14" s="3">
        <v>0</v>
      </c>
    </row>
    <row r="15" spans="1:23" x14ac:dyDescent="0.3">
      <c r="A15" s="3" t="s">
        <v>317</v>
      </c>
      <c r="B15" s="4">
        <v>3541.55</v>
      </c>
      <c r="C15" s="4">
        <v>3727.46</v>
      </c>
      <c r="D15" s="4">
        <v>3802.96</v>
      </c>
      <c r="E15" s="4">
        <v>3920.12</v>
      </c>
      <c r="F15" s="4">
        <v>5469.26</v>
      </c>
      <c r="G15" s="4">
        <v>5463.69</v>
      </c>
      <c r="I15" s="3" t="s">
        <v>19</v>
      </c>
      <c r="J15" s="4">
        <v>3547.57</v>
      </c>
      <c r="K15" s="4">
        <v>8829.01</v>
      </c>
      <c r="L15" s="4">
        <v>38177.300000000003</v>
      </c>
      <c r="M15" s="4">
        <v>46353.26</v>
      </c>
      <c r="N15" s="4">
        <v>28222.22</v>
      </c>
      <c r="O15" s="4">
        <v>41877.919999999998</v>
      </c>
      <c r="Q15" s="3" t="s">
        <v>2</v>
      </c>
      <c r="R15" s="3">
        <v>357.01</v>
      </c>
      <c r="S15" s="3">
        <v>2857.29</v>
      </c>
      <c r="T15" s="3">
        <v>-535.51</v>
      </c>
      <c r="U15" s="3">
        <v>552.14</v>
      </c>
      <c r="V15" s="3">
        <v>-742.47</v>
      </c>
      <c r="W15" s="3">
        <v>198.65</v>
      </c>
    </row>
    <row r="16" spans="1:23" x14ac:dyDescent="0.3">
      <c r="A16" s="3" t="s">
        <v>318</v>
      </c>
      <c r="B16" s="4">
        <v>19463.63</v>
      </c>
      <c r="C16" s="4">
        <v>20938.810000000001</v>
      </c>
      <c r="D16" s="4">
        <v>23823.11</v>
      </c>
      <c r="E16" s="4">
        <v>22132.05</v>
      </c>
      <c r="F16" s="4">
        <v>26644.83</v>
      </c>
      <c r="G16" s="4">
        <v>34000.559999999998</v>
      </c>
      <c r="I16" s="3" t="s">
        <v>20</v>
      </c>
      <c r="J16" s="5"/>
      <c r="K16" s="5"/>
      <c r="L16" s="5"/>
      <c r="M16" s="5"/>
      <c r="N16" s="5"/>
      <c r="O16" s="5"/>
      <c r="Q16" s="3" t="s">
        <v>94</v>
      </c>
      <c r="R16" s="3">
        <v>6203.75</v>
      </c>
      <c r="S16" s="3">
        <v>8470.73</v>
      </c>
      <c r="T16" s="3">
        <v>3721.63</v>
      </c>
      <c r="U16" s="3">
        <v>7157.3</v>
      </c>
      <c r="V16" s="3">
        <v>8617.36</v>
      </c>
      <c r="W16" s="3">
        <v>6216.05</v>
      </c>
    </row>
    <row r="17" spans="1:23" x14ac:dyDescent="0.3">
      <c r="A17" s="3" t="s">
        <v>219</v>
      </c>
      <c r="B17" s="4">
        <v>42347.17</v>
      </c>
      <c r="C17" s="4">
        <v>50375.94</v>
      </c>
      <c r="D17" s="4">
        <v>56674.52</v>
      </c>
      <c r="E17" s="4">
        <v>52525.53</v>
      </c>
      <c r="F17" s="4">
        <v>67019.490000000005</v>
      </c>
      <c r="G17" s="4">
        <v>86147.27</v>
      </c>
      <c r="I17" s="3" t="s">
        <v>21</v>
      </c>
      <c r="J17" s="3">
        <v>0</v>
      </c>
      <c r="K17" s="3">
        <v>0</v>
      </c>
      <c r="L17" s="3">
        <v>0</v>
      </c>
      <c r="M17" s="3">
        <v>0</v>
      </c>
      <c r="N17" s="3">
        <v>0</v>
      </c>
      <c r="O17" s="3">
        <v>0</v>
      </c>
      <c r="Q17" s="3" t="s">
        <v>95</v>
      </c>
      <c r="R17" s="3">
        <v>11560.68</v>
      </c>
      <c r="S17" s="3">
        <v>15108.98</v>
      </c>
      <c r="T17" s="3">
        <v>19948.88</v>
      </c>
      <c r="U17" s="3">
        <v>13768.28</v>
      </c>
      <c r="V17" s="3">
        <v>27227.200000000001</v>
      </c>
      <c r="W17" s="3">
        <v>50306.7</v>
      </c>
    </row>
    <row r="18" spans="1:23" x14ac:dyDescent="0.3">
      <c r="A18" s="3" t="s">
        <v>220</v>
      </c>
      <c r="B18" s="4">
        <v>6060.31</v>
      </c>
      <c r="C18" s="4">
        <v>10004.540000000001</v>
      </c>
      <c r="D18" s="4">
        <v>16341.48</v>
      </c>
      <c r="E18" s="4">
        <v>8314.56</v>
      </c>
      <c r="F18" s="4">
        <v>17868.54</v>
      </c>
      <c r="G18" s="4">
        <v>44326.1</v>
      </c>
      <c r="I18" s="3" t="s">
        <v>22</v>
      </c>
      <c r="J18" s="4">
        <v>4808.33</v>
      </c>
      <c r="K18" s="3">
        <v>807.55</v>
      </c>
      <c r="L18" s="3">
        <v>751.95</v>
      </c>
      <c r="M18" s="3">
        <v>507.65</v>
      </c>
      <c r="N18" s="3">
        <v>865.11</v>
      </c>
      <c r="O18" s="4">
        <v>1523.51</v>
      </c>
      <c r="Q18" s="3" t="s">
        <v>96</v>
      </c>
      <c r="R18" s="3">
        <v>0</v>
      </c>
      <c r="S18" s="3">
        <v>0</v>
      </c>
      <c r="T18" s="3">
        <v>0</v>
      </c>
      <c r="U18" s="3">
        <v>0</v>
      </c>
      <c r="V18" s="3">
        <v>0</v>
      </c>
      <c r="W18" s="3">
        <v>0</v>
      </c>
    </row>
    <row r="19" spans="1:23" x14ac:dyDescent="0.3">
      <c r="A19" s="3" t="s">
        <v>319</v>
      </c>
      <c r="B19" s="3">
        <v>-703.38</v>
      </c>
      <c r="C19" s="4">
        <v>-3366.29</v>
      </c>
      <c r="D19" s="3">
        <v>-114.23</v>
      </c>
      <c r="E19" s="4">
        <v>-1703.58</v>
      </c>
      <c r="F19" s="3">
        <v>741.3</v>
      </c>
      <c r="G19" s="3">
        <v>-235.45</v>
      </c>
      <c r="I19" s="3" t="s">
        <v>23</v>
      </c>
      <c r="J19" s="3">
        <v>211.97</v>
      </c>
      <c r="K19" s="3">
        <v>213.5</v>
      </c>
      <c r="L19" s="3">
        <v>231.16</v>
      </c>
      <c r="M19" s="3">
        <v>199.26</v>
      </c>
      <c r="N19" s="4">
        <v>7570.1</v>
      </c>
      <c r="O19" s="4">
        <v>30195.27</v>
      </c>
      <c r="Q19" s="3" t="s">
        <v>97</v>
      </c>
      <c r="R19" s="3">
        <v>-3093.05</v>
      </c>
      <c r="S19" s="3">
        <v>-784.63</v>
      </c>
      <c r="T19" s="3">
        <v>-214.6</v>
      </c>
      <c r="U19" s="3">
        <v>533.21</v>
      </c>
      <c r="V19" s="3">
        <v>2664.03</v>
      </c>
      <c r="W19" s="3">
        <v>-7072.78</v>
      </c>
    </row>
    <row r="20" spans="1:23" x14ac:dyDescent="0.3">
      <c r="A20" s="3" t="s">
        <v>221</v>
      </c>
      <c r="B20" s="4">
        <v>5356.93</v>
      </c>
      <c r="C20" s="4">
        <v>6638.25</v>
      </c>
      <c r="D20" s="4">
        <v>16227.25</v>
      </c>
      <c r="E20" s="4">
        <v>6610.98</v>
      </c>
      <c r="F20" s="4">
        <v>18609.84</v>
      </c>
      <c r="G20" s="4">
        <v>44090.65</v>
      </c>
      <c r="I20" s="3" t="s">
        <v>24</v>
      </c>
      <c r="J20" s="3">
        <v>79.61</v>
      </c>
      <c r="K20" s="3">
        <v>33.340000000000003</v>
      </c>
      <c r="L20" s="3">
        <v>319.7</v>
      </c>
      <c r="M20" s="3">
        <v>222.88</v>
      </c>
      <c r="N20" s="3">
        <v>384.19</v>
      </c>
      <c r="O20" s="4">
        <v>1345.02</v>
      </c>
      <c r="Q20" s="3" t="s">
        <v>98</v>
      </c>
      <c r="R20" s="3">
        <v>0</v>
      </c>
      <c r="S20" s="3">
        <v>0</v>
      </c>
      <c r="T20" s="3">
        <v>0</v>
      </c>
      <c r="U20" s="3">
        <v>0</v>
      </c>
      <c r="V20" s="3">
        <v>0</v>
      </c>
      <c r="W20" s="3">
        <v>0</v>
      </c>
    </row>
    <row r="21" spans="1:23" x14ac:dyDescent="0.3">
      <c r="A21" s="3" t="s">
        <v>320</v>
      </c>
      <c r="B21" s="3">
        <v>0</v>
      </c>
      <c r="C21" s="3">
        <v>0</v>
      </c>
      <c r="D21" s="3">
        <v>0</v>
      </c>
      <c r="E21" s="3">
        <v>0</v>
      </c>
      <c r="F21" s="3">
        <v>0</v>
      </c>
      <c r="G21" s="3">
        <v>0</v>
      </c>
      <c r="I21" s="3" t="s">
        <v>25</v>
      </c>
      <c r="J21" s="3">
        <v>867.75</v>
      </c>
      <c r="K21" s="4">
        <v>1043.8399999999999</v>
      </c>
      <c r="L21" s="4">
        <v>1428.38</v>
      </c>
      <c r="M21" s="4">
        <v>1557.82</v>
      </c>
      <c r="N21" s="4">
        <v>3496.49</v>
      </c>
      <c r="O21" s="4">
        <v>3620.76</v>
      </c>
      <c r="Q21" s="3" t="s">
        <v>99</v>
      </c>
      <c r="R21" s="3">
        <v>0</v>
      </c>
      <c r="S21" s="3">
        <v>0</v>
      </c>
      <c r="T21" s="3">
        <v>0</v>
      </c>
      <c r="U21" s="3">
        <v>0</v>
      </c>
      <c r="V21" s="3">
        <v>0</v>
      </c>
      <c r="W21" s="3">
        <v>0</v>
      </c>
    </row>
    <row r="22" spans="1:23" x14ac:dyDescent="0.3">
      <c r="A22" s="3" t="s">
        <v>222</v>
      </c>
      <c r="B22" s="3">
        <v>0</v>
      </c>
      <c r="C22" s="3">
        <v>0</v>
      </c>
      <c r="D22" s="3">
        <v>0</v>
      </c>
      <c r="E22" s="3">
        <v>0</v>
      </c>
      <c r="F22" s="3">
        <v>0</v>
      </c>
      <c r="G22" s="3">
        <v>0</v>
      </c>
      <c r="I22" s="5"/>
      <c r="J22" s="5"/>
      <c r="K22" s="5"/>
      <c r="L22" s="5"/>
      <c r="M22" s="5"/>
      <c r="N22" s="5"/>
      <c r="O22" s="5"/>
      <c r="Q22" s="3" t="s">
        <v>100</v>
      </c>
      <c r="R22" s="3">
        <v>0</v>
      </c>
      <c r="S22" s="3">
        <v>0</v>
      </c>
      <c r="T22" s="3">
        <v>0</v>
      </c>
      <c r="U22" s="3">
        <v>0</v>
      </c>
      <c r="V22" s="3">
        <v>0</v>
      </c>
      <c r="W22" s="3">
        <v>0</v>
      </c>
    </row>
    <row r="23" spans="1:23" x14ac:dyDescent="0.3">
      <c r="A23" s="3" t="s">
        <v>321</v>
      </c>
      <c r="B23" s="3">
        <v>0</v>
      </c>
      <c r="C23" s="3">
        <v>0</v>
      </c>
      <c r="D23" s="3">
        <v>0</v>
      </c>
      <c r="E23" s="3">
        <v>0</v>
      </c>
      <c r="F23" s="3">
        <v>0</v>
      </c>
      <c r="G23" s="3">
        <v>0</v>
      </c>
      <c r="I23" s="3" t="s">
        <v>26</v>
      </c>
      <c r="J23" s="3">
        <v>0</v>
      </c>
      <c r="K23" s="3">
        <v>0</v>
      </c>
      <c r="L23" s="3">
        <v>0</v>
      </c>
      <c r="M23" s="3">
        <v>0</v>
      </c>
      <c r="N23" s="3">
        <v>0</v>
      </c>
      <c r="O23" s="3">
        <v>0</v>
      </c>
      <c r="Q23" s="3" t="s">
        <v>101</v>
      </c>
      <c r="R23" s="3">
        <v>0</v>
      </c>
      <c r="S23" s="3">
        <v>0</v>
      </c>
      <c r="T23" s="3">
        <v>0</v>
      </c>
      <c r="U23" s="3">
        <v>0</v>
      </c>
      <c r="V23" s="3">
        <v>0</v>
      </c>
      <c r="W23" s="3">
        <v>0</v>
      </c>
    </row>
    <row r="24" spans="1:23" x14ac:dyDescent="0.3">
      <c r="A24" s="3" t="s">
        <v>4</v>
      </c>
      <c r="B24" s="4">
        <v>5356.93</v>
      </c>
      <c r="C24" s="4">
        <v>6638.25</v>
      </c>
      <c r="D24" s="4">
        <v>16227.25</v>
      </c>
      <c r="E24" s="4">
        <v>6610.98</v>
      </c>
      <c r="F24" s="4">
        <v>18609.84</v>
      </c>
      <c r="G24" s="4">
        <v>44090.65</v>
      </c>
      <c r="I24" s="3" t="s">
        <v>27</v>
      </c>
      <c r="J24" s="4">
        <v>3108.67</v>
      </c>
      <c r="K24" s="4">
        <v>2140.84</v>
      </c>
      <c r="L24" s="4">
        <v>2535.98</v>
      </c>
      <c r="M24" s="4">
        <v>2062.0700000000002</v>
      </c>
      <c r="N24" s="4">
        <v>2626.86</v>
      </c>
      <c r="O24" s="4">
        <v>3301.78</v>
      </c>
      <c r="Q24" s="3" t="s">
        <v>102</v>
      </c>
      <c r="R24" s="3">
        <v>0</v>
      </c>
      <c r="S24" s="3">
        <v>0</v>
      </c>
      <c r="T24" s="3">
        <v>0</v>
      </c>
      <c r="U24" s="3">
        <v>0</v>
      </c>
      <c r="V24" s="3">
        <v>0</v>
      </c>
      <c r="W24" s="3">
        <v>0</v>
      </c>
    </row>
    <row r="25" spans="1:23" x14ac:dyDescent="0.3">
      <c r="A25" s="3" t="s">
        <v>223</v>
      </c>
      <c r="B25" s="4">
        <v>1912.38</v>
      </c>
      <c r="C25" s="4">
        <v>2468.6999999999998</v>
      </c>
      <c r="D25" s="4">
        <v>5694.06</v>
      </c>
      <c r="E25" s="3">
        <v>-132.82</v>
      </c>
      <c r="F25" s="4">
        <v>1531.87</v>
      </c>
      <c r="G25" s="4">
        <v>11079.47</v>
      </c>
      <c r="I25" s="3" t="s">
        <v>28</v>
      </c>
      <c r="J25" s="3">
        <v>0</v>
      </c>
      <c r="K25" s="3">
        <v>0</v>
      </c>
      <c r="L25" s="3">
        <v>0</v>
      </c>
      <c r="M25" s="3">
        <v>0</v>
      </c>
      <c r="N25" s="3">
        <v>0</v>
      </c>
      <c r="O25" s="3">
        <v>0</v>
      </c>
      <c r="Q25" s="3" t="s">
        <v>103</v>
      </c>
      <c r="R25" s="3">
        <v>0</v>
      </c>
      <c r="S25" s="3">
        <v>0</v>
      </c>
      <c r="T25" s="3">
        <v>0</v>
      </c>
      <c r="U25" s="3">
        <v>0</v>
      </c>
      <c r="V25" s="3">
        <v>0</v>
      </c>
      <c r="W25" s="3">
        <v>0</v>
      </c>
    </row>
    <row r="26" spans="1:23" x14ac:dyDescent="0.3">
      <c r="A26" s="3" t="s">
        <v>224</v>
      </c>
      <c r="B26" s="4">
        <v>1400.54</v>
      </c>
      <c r="C26" s="4">
        <v>1586.78</v>
      </c>
      <c r="D26" s="4">
        <v>6297.11</v>
      </c>
      <c r="E26" s="4">
        <v>1787.95</v>
      </c>
      <c r="F26" s="4">
        <v>-1329.78</v>
      </c>
      <c r="G26" s="4">
        <v>11611.94</v>
      </c>
      <c r="I26" s="3" t="s">
        <v>29</v>
      </c>
      <c r="J26" s="4">
        <v>91355.01</v>
      </c>
      <c r="K26" s="4">
        <v>90470.43</v>
      </c>
      <c r="L26" s="4">
        <v>120462.78</v>
      </c>
      <c r="M26" s="4">
        <v>130383.37</v>
      </c>
      <c r="N26" s="4">
        <v>151216.53</v>
      </c>
      <c r="O26" s="4">
        <v>190696.65</v>
      </c>
      <c r="Q26" s="3" t="s">
        <v>104</v>
      </c>
      <c r="R26" s="3">
        <v>0</v>
      </c>
      <c r="S26" s="3">
        <v>0</v>
      </c>
      <c r="T26" s="3">
        <v>0</v>
      </c>
      <c r="U26" s="3">
        <v>0</v>
      </c>
      <c r="V26" s="3">
        <v>0</v>
      </c>
      <c r="W26" s="3">
        <v>0</v>
      </c>
    </row>
    <row r="27" spans="1:23" x14ac:dyDescent="0.3">
      <c r="A27" s="3" t="s">
        <v>225</v>
      </c>
      <c r="B27" s="3">
        <v>511.84</v>
      </c>
      <c r="C27" s="3">
        <v>881.92</v>
      </c>
      <c r="D27" s="3">
        <v>-603.04999999999995</v>
      </c>
      <c r="E27" s="4">
        <v>-1920.77</v>
      </c>
      <c r="F27" s="4">
        <v>2861.65</v>
      </c>
      <c r="G27" s="3">
        <v>-532.47</v>
      </c>
      <c r="I27" s="5"/>
      <c r="J27" s="5"/>
      <c r="K27" s="5"/>
      <c r="L27" s="5"/>
      <c r="M27" s="5"/>
      <c r="N27" s="5"/>
      <c r="O27" s="5"/>
      <c r="Q27" s="3" t="s">
        <v>105</v>
      </c>
      <c r="R27" s="3">
        <v>0</v>
      </c>
      <c r="S27" s="3">
        <v>0</v>
      </c>
      <c r="T27" s="3">
        <v>0</v>
      </c>
      <c r="U27" s="3">
        <v>0</v>
      </c>
      <c r="V27" s="3">
        <v>0</v>
      </c>
      <c r="W27" s="3">
        <v>0</v>
      </c>
    </row>
    <row r="28" spans="1:23" x14ac:dyDescent="0.3">
      <c r="A28" s="3" t="s">
        <v>226</v>
      </c>
      <c r="B28" s="3">
        <v>0</v>
      </c>
      <c r="C28" s="3">
        <v>0</v>
      </c>
      <c r="D28" s="3">
        <v>0</v>
      </c>
      <c r="E28" s="3">
        <v>0</v>
      </c>
      <c r="F28" s="3">
        <v>0</v>
      </c>
      <c r="G28" s="3">
        <v>0</v>
      </c>
      <c r="I28" s="3" t="s">
        <v>30</v>
      </c>
      <c r="J28" s="5"/>
      <c r="K28" s="5"/>
      <c r="L28" s="5"/>
      <c r="M28" s="5"/>
      <c r="N28" s="5"/>
      <c r="O28" s="5"/>
      <c r="Q28" s="3" t="s">
        <v>2</v>
      </c>
      <c r="R28" s="3">
        <v>4239.88</v>
      </c>
      <c r="S28" s="3">
        <v>-30.39</v>
      </c>
      <c r="T28" s="3">
        <v>-8.6300000000000008</v>
      </c>
      <c r="U28" s="3">
        <v>970.95</v>
      </c>
      <c r="V28" s="3">
        <v>8035.79</v>
      </c>
      <c r="W28" s="3">
        <v>9992.43</v>
      </c>
    </row>
    <row r="29" spans="1:23" x14ac:dyDescent="0.3">
      <c r="A29" s="3" t="s">
        <v>227</v>
      </c>
      <c r="B29" s="3">
        <v>0</v>
      </c>
      <c r="C29" s="3">
        <v>0</v>
      </c>
      <c r="D29" s="3">
        <v>0</v>
      </c>
      <c r="E29" s="3">
        <v>0</v>
      </c>
      <c r="F29" s="3">
        <v>0</v>
      </c>
      <c r="G29" s="3">
        <v>0</v>
      </c>
      <c r="I29" s="5"/>
      <c r="J29" s="5"/>
      <c r="K29" s="5"/>
      <c r="L29" s="5"/>
      <c r="M29" s="5"/>
      <c r="N29" s="5"/>
      <c r="O29" s="5"/>
      <c r="Q29" s="3" t="s">
        <v>106</v>
      </c>
      <c r="R29" s="3">
        <v>1146.83</v>
      </c>
      <c r="S29" s="3">
        <v>-815.02</v>
      </c>
      <c r="T29" s="3">
        <v>-223.23</v>
      </c>
      <c r="U29" s="3">
        <v>1504.16</v>
      </c>
      <c r="V29" s="3">
        <v>10699.82</v>
      </c>
      <c r="W29" s="3">
        <v>2919.65</v>
      </c>
    </row>
    <row r="30" spans="1:23" x14ac:dyDescent="0.3">
      <c r="A30" s="3" t="s">
        <v>228</v>
      </c>
      <c r="B30" s="3">
        <v>0</v>
      </c>
      <c r="C30" s="3">
        <v>0</v>
      </c>
      <c r="D30" s="3">
        <v>0</v>
      </c>
      <c r="E30" s="3">
        <v>0</v>
      </c>
      <c r="F30" s="3">
        <v>0</v>
      </c>
      <c r="G30" s="3">
        <v>0</v>
      </c>
      <c r="I30" s="3" t="s">
        <v>31</v>
      </c>
      <c r="J30" s="4">
        <v>10236.85</v>
      </c>
      <c r="K30" s="4">
        <v>11023.41</v>
      </c>
      <c r="L30" s="4">
        <v>11255.34</v>
      </c>
      <c r="M30" s="4">
        <v>10716.66</v>
      </c>
      <c r="N30" s="4">
        <v>12857.51</v>
      </c>
      <c r="O30" s="4">
        <v>19942.939999999999</v>
      </c>
      <c r="Q30" s="3" t="s">
        <v>107</v>
      </c>
      <c r="R30" s="3">
        <v>12707.51</v>
      </c>
      <c r="S30" s="3">
        <v>14293.96</v>
      </c>
      <c r="T30" s="3">
        <v>19725.650000000001</v>
      </c>
      <c r="U30" s="3">
        <v>15272.44</v>
      </c>
      <c r="V30" s="3">
        <v>37927.019999999997</v>
      </c>
      <c r="W30" s="3">
        <v>53226.35</v>
      </c>
    </row>
    <row r="31" spans="1:23" x14ac:dyDescent="0.3">
      <c r="A31" s="3" t="s">
        <v>229</v>
      </c>
      <c r="B31" s="3">
        <v>0</v>
      </c>
      <c r="C31" s="3">
        <v>0</v>
      </c>
      <c r="D31" s="3">
        <v>0</v>
      </c>
      <c r="E31" s="3">
        <v>0</v>
      </c>
      <c r="F31" s="3">
        <v>0</v>
      </c>
      <c r="G31" s="3">
        <v>0</v>
      </c>
      <c r="I31" s="3" t="s">
        <v>16</v>
      </c>
      <c r="J31" s="3">
        <v>0</v>
      </c>
      <c r="K31" s="3">
        <v>0</v>
      </c>
      <c r="L31" s="3">
        <v>0</v>
      </c>
      <c r="M31" s="3">
        <v>0</v>
      </c>
      <c r="N31" s="3">
        <v>0</v>
      </c>
      <c r="O31" s="3">
        <v>0</v>
      </c>
      <c r="Q31" s="3" t="s">
        <v>108</v>
      </c>
      <c r="R31" s="3">
        <v>0</v>
      </c>
      <c r="S31" s="3">
        <v>0</v>
      </c>
      <c r="T31" s="3">
        <v>0</v>
      </c>
      <c r="U31" s="3">
        <v>0</v>
      </c>
      <c r="V31" s="3">
        <v>0</v>
      </c>
      <c r="W31" s="3">
        <v>0</v>
      </c>
    </row>
    <row r="32" spans="1:23" x14ac:dyDescent="0.3">
      <c r="A32" s="3" t="s">
        <v>322</v>
      </c>
      <c r="B32" s="3">
        <v>0</v>
      </c>
      <c r="C32" s="3">
        <v>0</v>
      </c>
      <c r="D32" s="3">
        <v>0</v>
      </c>
      <c r="E32" s="3">
        <v>0</v>
      </c>
      <c r="F32" s="3">
        <v>0</v>
      </c>
      <c r="G32" s="3">
        <v>0</v>
      </c>
      <c r="I32" s="3" t="s">
        <v>20</v>
      </c>
      <c r="J32" s="5"/>
      <c r="K32" s="5"/>
      <c r="L32" s="5"/>
      <c r="M32" s="5"/>
      <c r="N32" s="5"/>
      <c r="O32" s="5"/>
      <c r="Q32" s="3" t="s">
        <v>109</v>
      </c>
      <c r="R32" s="3">
        <v>-1540.87</v>
      </c>
      <c r="S32" s="3">
        <v>-2502.5100000000002</v>
      </c>
      <c r="T32" s="3">
        <v>-4532.54</v>
      </c>
      <c r="U32" s="3">
        <v>-1818.78</v>
      </c>
      <c r="V32" s="3">
        <v>-372.25</v>
      </c>
      <c r="W32" s="3">
        <v>-11240.23</v>
      </c>
    </row>
    <row r="33" spans="1:23" x14ac:dyDescent="0.3">
      <c r="A33" s="3" t="s">
        <v>2</v>
      </c>
      <c r="B33" s="3">
        <v>0</v>
      </c>
      <c r="C33" s="3">
        <v>0</v>
      </c>
      <c r="D33" s="3">
        <v>0</v>
      </c>
      <c r="E33" s="3">
        <v>0</v>
      </c>
      <c r="F33" s="3">
        <v>0</v>
      </c>
      <c r="G33" s="3">
        <v>0</v>
      </c>
      <c r="I33" s="3" t="s">
        <v>32</v>
      </c>
      <c r="J33" s="4">
        <v>5309.81</v>
      </c>
      <c r="K33" s="4">
        <v>14640.37</v>
      </c>
      <c r="L33" s="3">
        <v>477.47</v>
      </c>
      <c r="M33" s="4">
        <v>3235.16</v>
      </c>
      <c r="N33" s="4">
        <v>7096.8</v>
      </c>
      <c r="O33" s="3">
        <v>96.11</v>
      </c>
      <c r="Q33" s="3" t="s">
        <v>110</v>
      </c>
      <c r="R33" s="3">
        <v>0</v>
      </c>
      <c r="S33" s="3">
        <v>0</v>
      </c>
      <c r="T33" s="3">
        <v>0</v>
      </c>
      <c r="U33" s="3">
        <v>0</v>
      </c>
      <c r="V33" s="3">
        <v>0</v>
      </c>
      <c r="W33" s="3">
        <v>0</v>
      </c>
    </row>
    <row r="34" spans="1:23" x14ac:dyDescent="0.3">
      <c r="A34" s="3" t="s">
        <v>230</v>
      </c>
      <c r="B34" s="4">
        <v>3444.55</v>
      </c>
      <c r="C34" s="4">
        <v>4169.55</v>
      </c>
      <c r="D34" s="4">
        <v>10533.19</v>
      </c>
      <c r="E34" s="4">
        <v>6743.8</v>
      </c>
      <c r="F34" s="4">
        <v>17077.97</v>
      </c>
      <c r="G34" s="4">
        <v>33011.18</v>
      </c>
      <c r="I34" s="3" t="s">
        <v>33</v>
      </c>
      <c r="J34" s="4">
        <v>2006.52</v>
      </c>
      <c r="K34" s="4">
        <v>1875.63</v>
      </c>
      <c r="L34" s="4">
        <v>1363.04</v>
      </c>
      <c r="M34" s="4">
        <v>1016.73</v>
      </c>
      <c r="N34" s="4">
        <v>2878.58</v>
      </c>
      <c r="O34" s="4">
        <v>3280.3</v>
      </c>
      <c r="Q34" s="3" t="s">
        <v>2</v>
      </c>
      <c r="R34" s="3">
        <v>0</v>
      </c>
      <c r="S34" s="3">
        <v>0</v>
      </c>
      <c r="T34" s="3">
        <v>0</v>
      </c>
      <c r="U34" s="3">
        <v>0</v>
      </c>
      <c r="V34" s="3">
        <v>0</v>
      </c>
      <c r="W34" s="3">
        <v>0</v>
      </c>
    </row>
    <row r="35" spans="1:23" x14ac:dyDescent="0.3">
      <c r="A35" s="3" t="s">
        <v>231</v>
      </c>
      <c r="B35" s="3">
        <v>0</v>
      </c>
      <c r="C35" s="3">
        <v>0</v>
      </c>
      <c r="D35" s="3">
        <v>0</v>
      </c>
      <c r="E35" s="3">
        <v>0</v>
      </c>
      <c r="F35" s="3">
        <v>0</v>
      </c>
      <c r="G35" s="3">
        <v>0</v>
      </c>
      <c r="I35" s="3" t="s">
        <v>34</v>
      </c>
      <c r="J35" s="3">
        <v>905.21</v>
      </c>
      <c r="K35" s="4">
        <v>4588.8900000000003</v>
      </c>
      <c r="L35" s="3">
        <v>544.85</v>
      </c>
      <c r="M35" s="3">
        <v>993.64</v>
      </c>
      <c r="N35" s="4">
        <v>2221.31</v>
      </c>
      <c r="O35" s="4">
        <v>2671.59</v>
      </c>
      <c r="Q35" s="3" t="s">
        <v>111</v>
      </c>
      <c r="R35" s="3">
        <v>-1540.87</v>
      </c>
      <c r="S35" s="3">
        <v>-2502.5100000000002</v>
      </c>
      <c r="T35" s="3">
        <v>-4532.54</v>
      </c>
      <c r="U35" s="3">
        <v>-1818.78</v>
      </c>
      <c r="V35" s="3">
        <v>-372.25</v>
      </c>
      <c r="W35" s="3">
        <v>-11240.23</v>
      </c>
    </row>
    <row r="36" spans="1:23" x14ac:dyDescent="0.3">
      <c r="A36" s="3" t="s">
        <v>232</v>
      </c>
      <c r="B36" s="4">
        <v>3444.55</v>
      </c>
      <c r="C36" s="4">
        <v>4169.55</v>
      </c>
      <c r="D36" s="4">
        <v>10533.19</v>
      </c>
      <c r="E36" s="4">
        <v>6743.8</v>
      </c>
      <c r="F36" s="4">
        <v>17077.97</v>
      </c>
      <c r="G36" s="4">
        <v>33011.18</v>
      </c>
      <c r="I36" s="3" t="s">
        <v>35</v>
      </c>
      <c r="J36" s="3">
        <v>65.099999999999994</v>
      </c>
      <c r="K36" s="3">
        <v>107.85</v>
      </c>
      <c r="L36" s="3">
        <v>173.26</v>
      </c>
      <c r="M36" s="3">
        <v>233.23</v>
      </c>
      <c r="N36" s="3">
        <v>175.59</v>
      </c>
      <c r="O36" s="3">
        <v>183.7</v>
      </c>
      <c r="Q36" s="3" t="s">
        <v>112</v>
      </c>
      <c r="R36" s="3">
        <v>11166.64</v>
      </c>
      <c r="S36" s="3">
        <v>11791.45</v>
      </c>
      <c r="T36" s="3">
        <v>15193.11</v>
      </c>
      <c r="U36" s="3">
        <v>13453.66</v>
      </c>
      <c r="V36" s="3">
        <v>37554.769999999997</v>
      </c>
      <c r="W36" s="3">
        <v>41986.12</v>
      </c>
    </row>
    <row r="37" spans="1:23" x14ac:dyDescent="0.3">
      <c r="A37" s="3" t="s">
        <v>323</v>
      </c>
      <c r="B37" s="3">
        <v>0</v>
      </c>
      <c r="C37" s="3">
        <v>0</v>
      </c>
      <c r="D37" s="3">
        <v>0</v>
      </c>
      <c r="E37" s="3">
        <v>0</v>
      </c>
      <c r="F37" s="3">
        <v>0</v>
      </c>
      <c r="G37" s="3">
        <v>0</v>
      </c>
      <c r="I37" s="3" t="s">
        <v>36</v>
      </c>
      <c r="J37" s="3">
        <v>27.14</v>
      </c>
      <c r="K37" s="3">
        <v>74.13</v>
      </c>
      <c r="L37" s="3">
        <v>55.92</v>
      </c>
      <c r="M37" s="4">
        <v>1607.32</v>
      </c>
      <c r="N37" s="4">
        <v>1564.37</v>
      </c>
      <c r="O37" s="4">
        <v>2368.0100000000002</v>
      </c>
      <c r="Q37" s="3" t="s">
        <v>113</v>
      </c>
      <c r="R37" s="3">
        <v>0</v>
      </c>
      <c r="S37" s="3">
        <v>0</v>
      </c>
      <c r="T37" s="3">
        <v>0</v>
      </c>
      <c r="U37" s="3">
        <v>0</v>
      </c>
      <c r="V37" s="3">
        <v>0</v>
      </c>
      <c r="W37" s="3">
        <v>0</v>
      </c>
    </row>
    <row r="38" spans="1:23" x14ac:dyDescent="0.3">
      <c r="A38" s="3" t="s">
        <v>233</v>
      </c>
      <c r="B38" s="4">
        <v>3444.55</v>
      </c>
      <c r="C38" s="4">
        <v>4169.55</v>
      </c>
      <c r="D38" s="4">
        <v>10533.19</v>
      </c>
      <c r="E38" s="4">
        <v>6743.8</v>
      </c>
      <c r="F38" s="4">
        <v>17077.97</v>
      </c>
      <c r="G38" s="4">
        <v>33011.18</v>
      </c>
      <c r="I38" s="3" t="s">
        <v>37</v>
      </c>
      <c r="J38" s="3">
        <v>321.32</v>
      </c>
      <c r="K38" s="3">
        <v>521.58000000000004</v>
      </c>
      <c r="L38" s="3">
        <v>955.72</v>
      </c>
      <c r="M38" s="3">
        <v>440.37</v>
      </c>
      <c r="N38" s="3">
        <v>936.54</v>
      </c>
      <c r="O38" s="3">
        <v>786.33</v>
      </c>
      <c r="Q38" s="3" t="s">
        <v>114</v>
      </c>
      <c r="R38" s="3">
        <v>0</v>
      </c>
      <c r="S38" s="3">
        <v>0</v>
      </c>
      <c r="T38" s="3">
        <v>0</v>
      </c>
      <c r="U38" s="3">
        <v>0</v>
      </c>
      <c r="V38" s="3">
        <v>0</v>
      </c>
      <c r="W38" s="3">
        <v>0</v>
      </c>
    </row>
    <row r="39" spans="1:23" x14ac:dyDescent="0.3">
      <c r="A39" s="3" t="s">
        <v>234</v>
      </c>
      <c r="B39" s="3">
        <v>0</v>
      </c>
      <c r="C39" s="3">
        <v>0</v>
      </c>
      <c r="D39" s="3">
        <v>0</v>
      </c>
      <c r="E39" s="3">
        <v>0</v>
      </c>
      <c r="F39" s="3">
        <v>0</v>
      </c>
      <c r="G39" s="3">
        <v>0</v>
      </c>
      <c r="I39" s="3" t="s">
        <v>38</v>
      </c>
      <c r="J39" s="3">
        <v>0</v>
      </c>
      <c r="K39" s="3">
        <v>0</v>
      </c>
      <c r="L39" s="3">
        <v>0</v>
      </c>
      <c r="M39" s="3">
        <v>0</v>
      </c>
      <c r="N39" s="3">
        <v>71.58</v>
      </c>
      <c r="O39" s="3">
        <v>0</v>
      </c>
      <c r="Q39" s="3" t="s">
        <v>115</v>
      </c>
      <c r="R39" s="3">
        <v>0</v>
      </c>
      <c r="S39" s="3">
        <v>0</v>
      </c>
      <c r="T39" s="3">
        <v>0</v>
      </c>
      <c r="U39" s="3">
        <v>0</v>
      </c>
      <c r="V39" s="3">
        <v>0</v>
      </c>
      <c r="W39" s="3">
        <v>0</v>
      </c>
    </row>
    <row r="40" spans="1:23" x14ac:dyDescent="0.3">
      <c r="A40" s="3" t="s">
        <v>235</v>
      </c>
      <c r="B40" s="3">
        <v>0</v>
      </c>
      <c r="C40" s="3">
        <v>0</v>
      </c>
      <c r="D40" s="3">
        <v>0</v>
      </c>
      <c r="E40" s="3">
        <v>0</v>
      </c>
      <c r="F40" s="3">
        <v>0</v>
      </c>
      <c r="G40" s="3">
        <v>0</v>
      </c>
      <c r="I40" s="3" t="s">
        <v>26</v>
      </c>
      <c r="J40" s="3">
        <v>0</v>
      </c>
      <c r="K40" s="3">
        <v>0</v>
      </c>
      <c r="L40" s="3">
        <v>0</v>
      </c>
      <c r="M40" s="3">
        <v>0</v>
      </c>
      <c r="N40" s="3">
        <v>0</v>
      </c>
      <c r="O40" s="3">
        <v>0</v>
      </c>
      <c r="Q40" s="3" t="s">
        <v>116</v>
      </c>
      <c r="R40" s="3">
        <v>0</v>
      </c>
      <c r="S40" s="3">
        <v>0</v>
      </c>
      <c r="T40" s="3">
        <v>0</v>
      </c>
      <c r="U40" s="3">
        <v>0</v>
      </c>
      <c r="V40" s="3">
        <v>0</v>
      </c>
      <c r="W40" s="3">
        <v>0</v>
      </c>
    </row>
    <row r="41" spans="1:23" x14ac:dyDescent="0.3">
      <c r="A41" s="3" t="s">
        <v>236</v>
      </c>
      <c r="B41" s="3">
        <v>0</v>
      </c>
      <c r="C41" s="3">
        <v>0</v>
      </c>
      <c r="D41" s="3">
        <v>0</v>
      </c>
      <c r="E41" s="3">
        <v>0</v>
      </c>
      <c r="F41" s="3">
        <v>0</v>
      </c>
      <c r="G41" s="3">
        <v>0</v>
      </c>
      <c r="I41" s="3" t="s">
        <v>39</v>
      </c>
      <c r="J41" s="4">
        <v>1238.45</v>
      </c>
      <c r="K41" s="4">
        <v>1812.05</v>
      </c>
      <c r="L41" s="4">
        <v>2209.98</v>
      </c>
      <c r="M41" s="4">
        <v>1715.92</v>
      </c>
      <c r="N41" s="4">
        <v>1088.5</v>
      </c>
      <c r="O41" s="4">
        <v>1939.08</v>
      </c>
      <c r="Q41" s="3" t="s">
        <v>117</v>
      </c>
      <c r="R41" s="3">
        <v>0</v>
      </c>
      <c r="S41" s="3">
        <v>0</v>
      </c>
      <c r="T41" s="3">
        <v>0</v>
      </c>
      <c r="U41" s="3">
        <v>0</v>
      </c>
      <c r="V41" s="3">
        <v>0</v>
      </c>
      <c r="W41" s="3">
        <v>0</v>
      </c>
    </row>
    <row r="42" spans="1:23" x14ac:dyDescent="0.3">
      <c r="A42" s="3" t="s">
        <v>237</v>
      </c>
      <c r="B42" s="3">
        <v>0</v>
      </c>
      <c r="C42" s="3">
        <v>0</v>
      </c>
      <c r="D42" s="3">
        <v>0</v>
      </c>
      <c r="E42" s="3">
        <v>0</v>
      </c>
      <c r="F42" s="3">
        <v>0</v>
      </c>
      <c r="G42" s="3">
        <v>0</v>
      </c>
      <c r="I42" s="3" t="s">
        <v>40</v>
      </c>
      <c r="J42" s="3">
        <v>0</v>
      </c>
      <c r="K42" s="3">
        <v>0</v>
      </c>
      <c r="L42" s="3">
        <v>0</v>
      </c>
      <c r="M42" s="3">
        <v>50.16</v>
      </c>
      <c r="N42" s="3">
        <v>383.62</v>
      </c>
      <c r="O42" s="3">
        <v>0</v>
      </c>
      <c r="Q42" s="3" t="s">
        <v>2</v>
      </c>
      <c r="R42" s="3">
        <v>0</v>
      </c>
      <c r="S42" s="3">
        <v>0</v>
      </c>
      <c r="T42" s="3">
        <v>0</v>
      </c>
      <c r="U42" s="3">
        <v>0</v>
      </c>
      <c r="V42" s="3">
        <v>0</v>
      </c>
      <c r="W42" s="3">
        <v>0</v>
      </c>
    </row>
    <row r="43" spans="1:23" x14ac:dyDescent="0.3">
      <c r="A43" s="3" t="s">
        <v>238</v>
      </c>
      <c r="B43" s="4">
        <v>3444.55</v>
      </c>
      <c r="C43" s="4">
        <v>4169.55</v>
      </c>
      <c r="D43" s="4">
        <v>10533.19</v>
      </c>
      <c r="E43" s="4">
        <v>6743.8</v>
      </c>
      <c r="F43" s="4">
        <v>17077.97</v>
      </c>
      <c r="G43" s="4">
        <v>33011.18</v>
      </c>
      <c r="I43" s="3" t="s">
        <v>41</v>
      </c>
      <c r="J43" s="4">
        <v>20110.400000000001</v>
      </c>
      <c r="K43" s="4">
        <v>34643.910000000003</v>
      </c>
      <c r="L43" s="4">
        <v>17035.580000000002</v>
      </c>
      <c r="M43" s="4">
        <v>20009.189999999999</v>
      </c>
      <c r="N43" s="4">
        <v>29274.400000000001</v>
      </c>
      <c r="O43" s="4">
        <v>31289.57</v>
      </c>
      <c r="Q43" s="3" t="s">
        <v>118</v>
      </c>
      <c r="R43" s="4">
        <v>-3956.4</v>
      </c>
      <c r="S43" s="4">
        <v>-12273.35</v>
      </c>
      <c r="T43" s="4">
        <v>-16349.98</v>
      </c>
      <c r="U43" s="4">
        <v>-17634.66</v>
      </c>
      <c r="V43" s="4">
        <v>-13665.22</v>
      </c>
      <c r="W43" s="4">
        <v>-34167.79</v>
      </c>
    </row>
    <row r="44" spans="1:23" x14ac:dyDescent="0.3">
      <c r="A44" s="3" t="s">
        <v>239</v>
      </c>
      <c r="B44" s="3">
        <v>-174.01</v>
      </c>
      <c r="C44" s="3">
        <v>-173.43</v>
      </c>
      <c r="D44" s="3">
        <v>-173.13</v>
      </c>
      <c r="E44" s="3">
        <v>-199.18</v>
      </c>
      <c r="F44" s="3">
        <v>-181.35</v>
      </c>
      <c r="G44" s="3">
        <v>-1.0900000000000001</v>
      </c>
      <c r="I44" s="5"/>
      <c r="J44" s="5"/>
      <c r="K44" s="5"/>
      <c r="L44" s="5"/>
      <c r="M44" s="5"/>
      <c r="N44" s="5"/>
      <c r="O44" s="5"/>
      <c r="Q44" s="3" t="s">
        <v>119</v>
      </c>
      <c r="R44" s="3">
        <v>-3212.72</v>
      </c>
      <c r="S44" s="3">
        <v>-2527.46</v>
      </c>
      <c r="T44" s="3">
        <v>-3676.86</v>
      </c>
      <c r="U44" s="3">
        <v>-4749.28</v>
      </c>
      <c r="V44" s="3">
        <v>-2266.2199999999998</v>
      </c>
      <c r="W44" s="3">
        <v>-6288.29</v>
      </c>
    </row>
    <row r="45" spans="1:23" x14ac:dyDescent="0.3">
      <c r="A45" s="3" t="s">
        <v>240</v>
      </c>
      <c r="B45" s="3">
        <v>0</v>
      </c>
      <c r="C45" s="3">
        <v>0</v>
      </c>
      <c r="D45" s="3">
        <v>0</v>
      </c>
      <c r="E45" s="3">
        <v>0</v>
      </c>
      <c r="F45" s="3">
        <v>0</v>
      </c>
      <c r="G45" s="3">
        <v>0</v>
      </c>
      <c r="I45" s="3" t="s">
        <v>42</v>
      </c>
      <c r="J45" s="3">
        <v>0</v>
      </c>
      <c r="K45" s="3">
        <v>0</v>
      </c>
      <c r="L45" s="3">
        <v>0</v>
      </c>
      <c r="M45" s="3">
        <v>0</v>
      </c>
      <c r="N45" s="3">
        <v>0</v>
      </c>
      <c r="O45" s="3">
        <v>0</v>
      </c>
      <c r="Q45" s="3" t="s">
        <v>120</v>
      </c>
      <c r="R45" s="3">
        <v>6.8</v>
      </c>
      <c r="S45" s="3">
        <v>13.28</v>
      </c>
      <c r="T45" s="3">
        <v>18.940000000000001</v>
      </c>
      <c r="U45" s="3">
        <v>173.07</v>
      </c>
      <c r="V45" s="3">
        <v>36.25</v>
      </c>
      <c r="W45" s="3">
        <v>132.61000000000001</v>
      </c>
    </row>
    <row r="46" spans="1:23" x14ac:dyDescent="0.3">
      <c r="A46" s="3" t="s">
        <v>241</v>
      </c>
      <c r="B46" s="3">
        <v>0</v>
      </c>
      <c r="C46" s="3">
        <v>0</v>
      </c>
      <c r="D46" s="3">
        <v>0</v>
      </c>
      <c r="E46" s="3">
        <v>0</v>
      </c>
      <c r="F46" s="3">
        <v>0</v>
      </c>
      <c r="G46" s="3">
        <v>0</v>
      </c>
      <c r="I46" s="5"/>
      <c r="J46" s="5"/>
      <c r="K46" s="5"/>
      <c r="L46" s="5"/>
      <c r="M46" s="5"/>
      <c r="N46" s="5"/>
      <c r="O46" s="5"/>
      <c r="Q46" s="3" t="s">
        <v>121</v>
      </c>
      <c r="R46" s="3">
        <v>0</v>
      </c>
      <c r="S46" s="3">
        <v>0</v>
      </c>
      <c r="T46" s="3">
        <v>0</v>
      </c>
      <c r="U46" s="3">
        <v>0</v>
      </c>
      <c r="V46" s="3">
        <v>0</v>
      </c>
      <c r="W46" s="3">
        <v>0</v>
      </c>
    </row>
    <row r="47" spans="1:23" x14ac:dyDescent="0.3">
      <c r="A47" s="3" t="s">
        <v>242</v>
      </c>
      <c r="B47" s="3">
        <v>0</v>
      </c>
      <c r="C47" s="3">
        <v>0</v>
      </c>
      <c r="D47" s="3">
        <v>0</v>
      </c>
      <c r="E47" s="3">
        <v>0</v>
      </c>
      <c r="F47" s="3">
        <v>0</v>
      </c>
      <c r="G47" s="3">
        <v>0</v>
      </c>
      <c r="I47" s="3" t="s">
        <v>43</v>
      </c>
      <c r="J47" s="3">
        <v>0</v>
      </c>
      <c r="K47" s="3">
        <v>0</v>
      </c>
      <c r="L47" s="3">
        <v>0</v>
      </c>
      <c r="M47" s="3">
        <v>0</v>
      </c>
      <c r="N47" s="3">
        <v>0</v>
      </c>
      <c r="O47" s="3">
        <v>0</v>
      </c>
      <c r="Q47" s="3" t="s">
        <v>122</v>
      </c>
      <c r="R47" s="3">
        <v>0</v>
      </c>
      <c r="S47" s="3">
        <v>0</v>
      </c>
      <c r="T47" s="3">
        <v>0</v>
      </c>
      <c r="U47" s="3">
        <v>0</v>
      </c>
      <c r="V47" s="3">
        <v>0</v>
      </c>
      <c r="W47" s="3">
        <v>0</v>
      </c>
    </row>
    <row r="48" spans="1:23" x14ac:dyDescent="0.3">
      <c r="A48" s="3" t="s">
        <v>5</v>
      </c>
      <c r="B48" s="3">
        <v>0</v>
      </c>
      <c r="C48" s="3">
        <v>0</v>
      </c>
      <c r="D48" s="3">
        <v>0</v>
      </c>
      <c r="E48" s="3">
        <v>0</v>
      </c>
      <c r="F48" s="3">
        <v>0</v>
      </c>
      <c r="G48" s="3">
        <v>0</v>
      </c>
      <c r="I48" s="3" t="s">
        <v>44</v>
      </c>
      <c r="J48" s="3">
        <v>0</v>
      </c>
      <c r="K48" s="3">
        <v>0</v>
      </c>
      <c r="L48" s="3">
        <v>0</v>
      </c>
      <c r="M48" s="3">
        <v>0</v>
      </c>
      <c r="N48" s="3">
        <v>0</v>
      </c>
      <c r="O48" s="3">
        <v>0</v>
      </c>
      <c r="Q48" s="3" t="s">
        <v>123</v>
      </c>
      <c r="R48" s="3">
        <v>0</v>
      </c>
      <c r="S48" s="3">
        <v>0</v>
      </c>
      <c r="T48" s="3">
        <v>0</v>
      </c>
      <c r="U48" s="3">
        <v>0</v>
      </c>
      <c r="V48" s="3">
        <v>0</v>
      </c>
      <c r="W48" s="3">
        <v>0</v>
      </c>
    </row>
    <row r="49" spans="1:23" x14ac:dyDescent="0.3">
      <c r="A49" s="3" t="s">
        <v>243</v>
      </c>
      <c r="B49" s="3">
        <v>0</v>
      </c>
      <c r="C49" s="3">
        <v>0</v>
      </c>
      <c r="D49" s="3">
        <v>0</v>
      </c>
      <c r="E49" s="3">
        <v>0</v>
      </c>
      <c r="F49" s="3">
        <v>0</v>
      </c>
      <c r="G49" s="3">
        <v>0</v>
      </c>
      <c r="I49" s="5"/>
      <c r="J49" s="5"/>
      <c r="K49" s="5"/>
      <c r="L49" s="5"/>
      <c r="M49" s="5"/>
      <c r="N49" s="5"/>
      <c r="O49" s="5"/>
      <c r="Q49" s="3" t="s">
        <v>124</v>
      </c>
      <c r="R49" s="3">
        <v>-845.92</v>
      </c>
      <c r="S49" s="3">
        <v>-8650.92</v>
      </c>
      <c r="T49" s="3">
        <v>-403.02</v>
      </c>
      <c r="U49" s="3">
        <v>-2722.7</v>
      </c>
      <c r="V49" s="3">
        <v>-3694.91</v>
      </c>
      <c r="W49" s="3">
        <v>-55.39</v>
      </c>
    </row>
    <row r="50" spans="1:23" x14ac:dyDescent="0.3">
      <c r="A50" s="3" t="s">
        <v>244</v>
      </c>
      <c r="B50" s="4">
        <v>3270.54</v>
      </c>
      <c r="C50" s="4">
        <v>3996.12</v>
      </c>
      <c r="D50" s="4">
        <v>10360.06</v>
      </c>
      <c r="E50" s="4">
        <v>6544.62</v>
      </c>
      <c r="F50" s="4">
        <v>16896.62</v>
      </c>
      <c r="G50" s="4">
        <v>33010.089999999997</v>
      </c>
      <c r="I50" s="3" t="s">
        <v>45</v>
      </c>
      <c r="J50" s="4">
        <v>91355.01</v>
      </c>
      <c r="K50" s="4">
        <v>90470.43</v>
      </c>
      <c r="L50" s="4">
        <v>120462.78</v>
      </c>
      <c r="M50" s="4">
        <v>130383.37</v>
      </c>
      <c r="N50" s="4">
        <v>151216.53</v>
      </c>
      <c r="O50" s="4">
        <v>190696.65</v>
      </c>
      <c r="Q50" s="3" t="s">
        <v>125</v>
      </c>
      <c r="R50" s="3">
        <v>3.9</v>
      </c>
      <c r="S50" s="3">
        <v>3877.78</v>
      </c>
      <c r="T50" s="3">
        <v>15066.32</v>
      </c>
      <c r="U50" s="3">
        <v>0</v>
      </c>
      <c r="V50" s="3">
        <v>0</v>
      </c>
      <c r="W50" s="3">
        <v>7193.3</v>
      </c>
    </row>
    <row r="51" spans="1:23" x14ac:dyDescent="0.3">
      <c r="A51" s="3" t="s">
        <v>324</v>
      </c>
      <c r="B51" s="3">
        <v>0</v>
      </c>
      <c r="C51" s="3">
        <v>0</v>
      </c>
      <c r="D51" s="3">
        <v>0</v>
      </c>
      <c r="E51" s="3">
        <v>0</v>
      </c>
      <c r="F51" s="3">
        <v>0</v>
      </c>
      <c r="G51" s="3">
        <v>0</v>
      </c>
      <c r="I51" s="5"/>
      <c r="J51" s="5"/>
      <c r="K51" s="5"/>
      <c r="L51" s="5"/>
      <c r="M51" s="5"/>
      <c r="N51" s="5"/>
      <c r="O51" s="5"/>
      <c r="Q51" s="3" t="s">
        <v>126</v>
      </c>
      <c r="R51" s="3">
        <v>0</v>
      </c>
      <c r="S51" s="3">
        <v>0</v>
      </c>
      <c r="T51" s="3">
        <v>0</v>
      </c>
      <c r="U51" s="3">
        <v>0</v>
      </c>
      <c r="V51" s="3">
        <v>0</v>
      </c>
      <c r="W51" s="3">
        <v>0</v>
      </c>
    </row>
    <row r="52" spans="1:23" x14ac:dyDescent="0.3">
      <c r="A52" s="3" t="s">
        <v>325</v>
      </c>
      <c r="B52" s="3">
        <v>0</v>
      </c>
      <c r="C52" s="3">
        <v>0</v>
      </c>
      <c r="D52" s="3">
        <v>0</v>
      </c>
      <c r="E52" s="3">
        <v>0</v>
      </c>
      <c r="F52" s="3">
        <v>0</v>
      </c>
      <c r="G52" s="3">
        <v>0</v>
      </c>
      <c r="I52" s="3" t="s">
        <v>46</v>
      </c>
      <c r="J52" s="4">
        <v>111465.41</v>
      </c>
      <c r="K52" s="4">
        <v>125114.34</v>
      </c>
      <c r="L52" s="4">
        <v>137498.35999999999</v>
      </c>
      <c r="M52" s="4">
        <v>150392.56</v>
      </c>
      <c r="N52" s="4">
        <v>180490.93</v>
      </c>
      <c r="O52" s="4">
        <v>221986.22</v>
      </c>
      <c r="Q52" s="3" t="s">
        <v>127</v>
      </c>
      <c r="R52" s="3">
        <v>117.34</v>
      </c>
      <c r="S52" s="3">
        <v>92.67</v>
      </c>
      <c r="T52" s="3">
        <v>1696.86</v>
      </c>
      <c r="U52" s="3">
        <v>117.34</v>
      </c>
      <c r="V52" s="3">
        <v>260.86</v>
      </c>
      <c r="W52" s="3">
        <v>144.32</v>
      </c>
    </row>
    <row r="53" spans="1:23" x14ac:dyDescent="0.3">
      <c r="A53" s="3" t="s">
        <v>245</v>
      </c>
      <c r="B53" s="3">
        <v>0</v>
      </c>
      <c r="C53" s="3">
        <v>0</v>
      </c>
      <c r="D53" s="3">
        <v>0</v>
      </c>
      <c r="E53" s="3">
        <v>0</v>
      </c>
      <c r="F53" s="3">
        <v>0</v>
      </c>
      <c r="G53" s="3">
        <v>0</v>
      </c>
      <c r="I53" s="5"/>
      <c r="J53" s="5"/>
      <c r="K53" s="5"/>
      <c r="L53" s="5"/>
      <c r="M53" s="5"/>
      <c r="N53" s="5"/>
      <c r="O53" s="5"/>
      <c r="Q53" s="3" t="s">
        <v>88</v>
      </c>
      <c r="R53" s="3">
        <v>87.51</v>
      </c>
      <c r="S53" s="3">
        <v>88.57</v>
      </c>
      <c r="T53" s="3">
        <v>96.25</v>
      </c>
      <c r="U53" s="3">
        <v>89.73</v>
      </c>
      <c r="V53" s="3">
        <v>68.11</v>
      </c>
      <c r="W53" s="3">
        <v>243.92</v>
      </c>
    </row>
    <row r="54" spans="1:23" x14ac:dyDescent="0.3">
      <c r="A54" s="3" t="s">
        <v>246</v>
      </c>
      <c r="B54" s="4">
        <v>3270.54</v>
      </c>
      <c r="C54" s="4">
        <v>3996.12</v>
      </c>
      <c r="D54" s="4">
        <v>10360.06</v>
      </c>
      <c r="E54" s="4">
        <v>6544.62</v>
      </c>
      <c r="F54" s="4">
        <v>16896.62</v>
      </c>
      <c r="G54" s="4">
        <v>33010.089999999997</v>
      </c>
      <c r="I54" s="3" t="s">
        <v>47</v>
      </c>
      <c r="J54" s="5"/>
      <c r="K54" s="5"/>
      <c r="L54" s="5"/>
      <c r="M54" s="5"/>
      <c r="N54" s="5"/>
      <c r="O54" s="5"/>
      <c r="Q54" s="3" t="s">
        <v>128</v>
      </c>
      <c r="R54" s="3">
        <v>-100.12</v>
      </c>
      <c r="S54" s="3">
        <v>-5018.88</v>
      </c>
      <c r="T54" s="3">
        <v>-29076.49</v>
      </c>
      <c r="U54" s="3">
        <v>-8945.16</v>
      </c>
      <c r="V54" s="3">
        <v>-937.07</v>
      </c>
      <c r="W54" s="3">
        <v>-12897</v>
      </c>
    </row>
    <row r="55" spans="1:23" x14ac:dyDescent="0.3">
      <c r="A55" s="3" t="s">
        <v>326</v>
      </c>
      <c r="B55" s="3">
        <v>0</v>
      </c>
      <c r="C55" s="3">
        <v>0</v>
      </c>
      <c r="D55" s="3">
        <v>0</v>
      </c>
      <c r="E55" s="3">
        <v>0</v>
      </c>
      <c r="F55" s="3">
        <v>0</v>
      </c>
      <c r="G55" s="3">
        <v>0</v>
      </c>
      <c r="I55" s="5"/>
      <c r="J55" s="5"/>
      <c r="K55" s="5"/>
      <c r="L55" s="5"/>
      <c r="M55" s="5"/>
      <c r="N55" s="5"/>
      <c r="O55" s="5"/>
      <c r="Q55" s="3" t="s">
        <v>129</v>
      </c>
      <c r="R55" s="3">
        <v>0</v>
      </c>
      <c r="S55" s="3">
        <v>0</v>
      </c>
      <c r="T55" s="3">
        <v>0</v>
      </c>
      <c r="U55" s="3">
        <v>0</v>
      </c>
      <c r="V55" s="3">
        <v>0</v>
      </c>
      <c r="W55" s="3">
        <v>0</v>
      </c>
    </row>
    <row r="56" spans="1:23" x14ac:dyDescent="0.3">
      <c r="A56" s="3" t="s">
        <v>327</v>
      </c>
      <c r="B56" s="3">
        <v>0</v>
      </c>
      <c r="C56" s="3">
        <v>0</v>
      </c>
      <c r="D56" s="3">
        <v>0</v>
      </c>
      <c r="E56" s="3">
        <v>0</v>
      </c>
      <c r="F56" s="3">
        <v>0</v>
      </c>
      <c r="G56" s="3">
        <v>0</v>
      </c>
      <c r="I56" s="3" t="s">
        <v>48</v>
      </c>
      <c r="J56" s="3">
        <v>971.41</v>
      </c>
      <c r="K56" s="4">
        <v>1146.1199999999999</v>
      </c>
      <c r="L56" s="4">
        <v>1146.1199999999999</v>
      </c>
      <c r="M56" s="4">
        <v>1146.1300000000001</v>
      </c>
      <c r="N56" s="4">
        <v>1198.78</v>
      </c>
      <c r="O56" s="4">
        <v>1222.3699999999999</v>
      </c>
      <c r="Q56" s="3" t="s">
        <v>130</v>
      </c>
      <c r="R56" s="3">
        <v>0</v>
      </c>
      <c r="S56" s="3">
        <v>0</v>
      </c>
      <c r="T56" s="3">
        <v>0</v>
      </c>
      <c r="U56" s="3">
        <v>0</v>
      </c>
      <c r="V56" s="3">
        <v>0</v>
      </c>
      <c r="W56" s="3">
        <v>0</v>
      </c>
    </row>
    <row r="57" spans="1:23" x14ac:dyDescent="0.3">
      <c r="A57" s="3" t="s">
        <v>247</v>
      </c>
      <c r="B57" s="3">
        <v>0</v>
      </c>
      <c r="C57" s="3">
        <v>0</v>
      </c>
      <c r="D57" s="3">
        <v>0</v>
      </c>
      <c r="E57" s="3">
        <v>0</v>
      </c>
      <c r="F57" s="3">
        <v>0</v>
      </c>
      <c r="G57" s="3">
        <v>0</v>
      </c>
      <c r="I57" s="3" t="s">
        <v>49</v>
      </c>
      <c r="J57" s="3">
        <v>0</v>
      </c>
      <c r="K57" s="3">
        <v>0</v>
      </c>
      <c r="L57" s="3">
        <v>0</v>
      </c>
      <c r="M57" s="3">
        <v>0</v>
      </c>
      <c r="N57" s="3">
        <v>0</v>
      </c>
      <c r="O57" s="3">
        <v>0</v>
      </c>
      <c r="Q57" s="3" t="s">
        <v>131</v>
      </c>
      <c r="R57" s="3">
        <v>0</v>
      </c>
      <c r="S57" s="3">
        <v>0</v>
      </c>
      <c r="T57" s="3">
        <v>0</v>
      </c>
      <c r="U57" s="3">
        <v>0</v>
      </c>
      <c r="V57" s="3">
        <v>0</v>
      </c>
      <c r="W57" s="3">
        <v>0</v>
      </c>
    </row>
    <row r="58" spans="1:23" x14ac:dyDescent="0.3">
      <c r="A58" s="3" t="s">
        <v>248</v>
      </c>
      <c r="B58" s="3">
        <v>0</v>
      </c>
      <c r="C58" s="3">
        <v>0</v>
      </c>
      <c r="D58" s="3">
        <v>0</v>
      </c>
      <c r="E58" s="3">
        <v>0</v>
      </c>
      <c r="F58" s="3">
        <v>0</v>
      </c>
      <c r="G58" s="3">
        <v>0</v>
      </c>
      <c r="I58" s="3" t="s">
        <v>50</v>
      </c>
      <c r="J58" s="3">
        <v>25.79</v>
      </c>
      <c r="K58" s="3">
        <v>25.79</v>
      </c>
      <c r="L58" s="3">
        <v>25.79</v>
      </c>
      <c r="M58" s="3">
        <v>25.79</v>
      </c>
      <c r="N58" s="3">
        <v>25.79</v>
      </c>
      <c r="O58" s="3">
        <v>25.79</v>
      </c>
      <c r="Q58" s="3" t="s">
        <v>132</v>
      </c>
      <c r="R58" s="3">
        <v>0</v>
      </c>
      <c r="S58" s="3">
        <v>0</v>
      </c>
      <c r="T58" s="3">
        <v>0</v>
      </c>
      <c r="U58" s="3">
        <v>0</v>
      </c>
      <c r="V58" s="3">
        <v>21.06</v>
      </c>
      <c r="W58" s="3">
        <v>0</v>
      </c>
    </row>
    <row r="59" spans="1:23" x14ac:dyDescent="0.3">
      <c r="A59" s="3" t="s">
        <v>249</v>
      </c>
      <c r="B59" s="4">
        <v>3270.54</v>
      </c>
      <c r="C59" s="4">
        <v>3996.12</v>
      </c>
      <c r="D59" s="4">
        <v>10360.06</v>
      </c>
      <c r="E59" s="4">
        <v>6544.62</v>
      </c>
      <c r="F59" s="4">
        <v>16896.62</v>
      </c>
      <c r="G59" s="4">
        <v>33010.089999999997</v>
      </c>
      <c r="I59" s="3" t="s">
        <v>51</v>
      </c>
      <c r="J59" s="3">
        <v>97.12</v>
      </c>
      <c r="K59" s="3">
        <v>120.41</v>
      </c>
      <c r="L59" s="3">
        <v>120.41</v>
      </c>
      <c r="M59" s="3">
        <v>120.41</v>
      </c>
      <c r="N59" s="3">
        <v>120.41</v>
      </c>
      <c r="O59" s="3">
        <v>122.23</v>
      </c>
      <c r="Q59" s="3" t="s">
        <v>133</v>
      </c>
      <c r="R59" s="3">
        <v>0</v>
      </c>
      <c r="S59" s="3">
        <v>0</v>
      </c>
      <c r="T59" s="3">
        <v>0</v>
      </c>
      <c r="U59" s="3">
        <v>0</v>
      </c>
      <c r="V59" s="3">
        <v>0</v>
      </c>
      <c r="W59" s="3">
        <v>0</v>
      </c>
    </row>
    <row r="60" spans="1:23" x14ac:dyDescent="0.3">
      <c r="A60" s="3" t="s">
        <v>250</v>
      </c>
      <c r="B60" s="5"/>
      <c r="C60" s="5"/>
      <c r="D60" s="5"/>
      <c r="E60" s="5"/>
      <c r="F60" s="5"/>
      <c r="G60" s="5"/>
      <c r="I60" s="3" t="s">
        <v>52</v>
      </c>
      <c r="J60" s="3">
        <v>971.41</v>
      </c>
      <c r="K60" s="4">
        <v>1146.1199999999999</v>
      </c>
      <c r="L60" s="4">
        <v>1146.1199999999999</v>
      </c>
      <c r="M60" s="4">
        <v>1146.1300000000001</v>
      </c>
      <c r="N60" s="4">
        <v>1198.78</v>
      </c>
      <c r="O60" s="4">
        <v>1222.3699999999999</v>
      </c>
      <c r="Q60" s="3" t="s">
        <v>134</v>
      </c>
      <c r="R60" s="3">
        <v>0</v>
      </c>
      <c r="S60" s="3">
        <v>0</v>
      </c>
      <c r="T60" s="3">
        <v>0</v>
      </c>
      <c r="U60" s="3">
        <v>0</v>
      </c>
      <c r="V60" s="3">
        <v>0</v>
      </c>
      <c r="W60" s="3">
        <v>0</v>
      </c>
    </row>
    <row r="61" spans="1:23" x14ac:dyDescent="0.3">
      <c r="A61" s="3" t="s">
        <v>328</v>
      </c>
      <c r="B61" s="3">
        <v>676.59</v>
      </c>
      <c r="C61" s="3">
        <v>-67.61</v>
      </c>
      <c r="D61" s="3">
        <v>-43.31</v>
      </c>
      <c r="E61" s="3">
        <v>-588.91999999999996</v>
      </c>
      <c r="F61" s="3">
        <v>390.79</v>
      </c>
      <c r="G61" s="3">
        <v>592.70000000000005</v>
      </c>
      <c r="I61" s="3" t="s">
        <v>53</v>
      </c>
      <c r="J61" s="3">
        <v>0</v>
      </c>
      <c r="K61" s="3">
        <v>0</v>
      </c>
      <c r="L61" s="3">
        <v>0</v>
      </c>
      <c r="M61" s="3">
        <v>0</v>
      </c>
      <c r="N61" s="3">
        <v>0</v>
      </c>
      <c r="O61" s="3">
        <v>0</v>
      </c>
      <c r="Q61" s="3" t="s">
        <v>2</v>
      </c>
      <c r="R61" s="3">
        <v>-13.19</v>
      </c>
      <c r="S61" s="3">
        <v>-148.38999999999999</v>
      </c>
      <c r="T61" s="3">
        <v>-71.98</v>
      </c>
      <c r="U61" s="3">
        <v>-1597.66</v>
      </c>
      <c r="V61" s="3">
        <v>-7153.3</v>
      </c>
      <c r="W61" s="3">
        <v>-22641.26</v>
      </c>
    </row>
    <row r="62" spans="1:23" x14ac:dyDescent="0.3">
      <c r="A62" s="3" t="s">
        <v>329</v>
      </c>
      <c r="B62" s="3">
        <v>-0.8</v>
      </c>
      <c r="C62" s="3">
        <v>6.49</v>
      </c>
      <c r="D62" s="3">
        <v>-6.91</v>
      </c>
      <c r="E62" s="3">
        <v>-59.95</v>
      </c>
      <c r="F62" s="3">
        <v>20.62</v>
      </c>
      <c r="G62" s="3">
        <v>102.2</v>
      </c>
      <c r="I62" s="3" t="s">
        <v>54</v>
      </c>
      <c r="J62" s="3">
        <v>0</v>
      </c>
      <c r="K62" s="3">
        <v>0</v>
      </c>
      <c r="L62" s="3">
        <v>0</v>
      </c>
      <c r="M62" s="3">
        <v>0</v>
      </c>
      <c r="N62" s="3">
        <v>0</v>
      </c>
      <c r="O62" s="3">
        <v>0</v>
      </c>
      <c r="Q62" s="3" t="s">
        <v>135</v>
      </c>
      <c r="R62" s="4">
        <v>-7279.71</v>
      </c>
      <c r="S62" s="4">
        <v>4165.58</v>
      </c>
      <c r="T62" s="4">
        <v>-2887.17</v>
      </c>
      <c r="U62" s="4">
        <v>4629.79</v>
      </c>
      <c r="V62" s="4">
        <v>-23385.49</v>
      </c>
      <c r="W62" s="4">
        <v>-7368.05</v>
      </c>
    </row>
    <row r="63" spans="1:23" x14ac:dyDescent="0.3">
      <c r="A63" s="3" t="s">
        <v>330</v>
      </c>
      <c r="B63" s="3">
        <v>0</v>
      </c>
      <c r="C63" s="3">
        <v>0</v>
      </c>
      <c r="D63" s="3">
        <v>0</v>
      </c>
      <c r="E63" s="3">
        <v>0</v>
      </c>
      <c r="F63" s="3">
        <v>0</v>
      </c>
      <c r="G63" s="3">
        <v>0</v>
      </c>
      <c r="I63" s="3" t="s">
        <v>55</v>
      </c>
      <c r="J63" s="3">
        <v>0</v>
      </c>
      <c r="K63" s="3">
        <v>0</v>
      </c>
      <c r="L63" s="3">
        <v>0</v>
      </c>
      <c r="M63" s="3">
        <v>0</v>
      </c>
      <c r="N63" s="3">
        <v>0</v>
      </c>
      <c r="O63" s="3">
        <v>0</v>
      </c>
      <c r="Q63" s="3" t="s">
        <v>136</v>
      </c>
      <c r="R63" s="3">
        <v>0.01</v>
      </c>
      <c r="S63" s="3">
        <v>9087.23</v>
      </c>
      <c r="T63" s="3">
        <v>0</v>
      </c>
      <c r="U63" s="3">
        <v>0.04</v>
      </c>
      <c r="V63" s="3">
        <v>3240.91</v>
      </c>
      <c r="W63" s="3">
        <v>325.72000000000003</v>
      </c>
    </row>
    <row r="64" spans="1:23" x14ac:dyDescent="0.3">
      <c r="A64" s="3" t="s">
        <v>251</v>
      </c>
      <c r="B64" s="3">
        <v>0</v>
      </c>
      <c r="C64" s="3">
        <v>0</v>
      </c>
      <c r="D64" s="3">
        <v>0</v>
      </c>
      <c r="E64" s="3">
        <v>0</v>
      </c>
      <c r="F64" s="3">
        <v>0</v>
      </c>
      <c r="G64" s="3">
        <v>0</v>
      </c>
      <c r="I64" s="5"/>
      <c r="J64" s="5"/>
      <c r="K64" s="5"/>
      <c r="L64" s="5"/>
      <c r="M64" s="5"/>
      <c r="N64" s="5"/>
      <c r="O64" s="5"/>
      <c r="Q64" s="3" t="s">
        <v>137</v>
      </c>
      <c r="R64" s="3">
        <v>0</v>
      </c>
      <c r="S64" s="3">
        <v>0</v>
      </c>
      <c r="T64" s="3">
        <v>0</v>
      </c>
      <c r="U64" s="3">
        <v>0</v>
      </c>
      <c r="V64" s="3">
        <v>0</v>
      </c>
      <c r="W64" s="3">
        <v>0</v>
      </c>
    </row>
    <row r="65" spans="1:23" x14ac:dyDescent="0.3">
      <c r="A65" s="3" t="s">
        <v>252</v>
      </c>
      <c r="B65" s="4">
        <v>4120.34</v>
      </c>
      <c r="C65" s="4">
        <v>4108.43</v>
      </c>
      <c r="D65" s="4">
        <v>10482.969999999999</v>
      </c>
      <c r="E65" s="4">
        <v>6094.93</v>
      </c>
      <c r="F65" s="4">
        <v>17489.38</v>
      </c>
      <c r="G65" s="4">
        <v>33706.080000000002</v>
      </c>
      <c r="I65" s="3" t="s">
        <v>56</v>
      </c>
      <c r="J65" s="4">
        <v>48687.59</v>
      </c>
      <c r="K65" s="4">
        <v>60368.7</v>
      </c>
      <c r="L65" s="4">
        <v>69308.59</v>
      </c>
      <c r="M65" s="4">
        <v>73416.990000000005</v>
      </c>
      <c r="N65" s="4">
        <v>93207.56</v>
      </c>
      <c r="O65" s="4">
        <v>124211.39</v>
      </c>
      <c r="Q65" s="3" t="s">
        <v>138</v>
      </c>
      <c r="R65" s="3">
        <v>0</v>
      </c>
      <c r="S65" s="3">
        <v>0</v>
      </c>
      <c r="T65" s="3">
        <v>5911.02</v>
      </c>
      <c r="U65" s="3">
        <v>5052.88</v>
      </c>
      <c r="V65" s="3">
        <v>9777.19</v>
      </c>
      <c r="W65" s="3">
        <v>36.880000000000003</v>
      </c>
    </row>
    <row r="66" spans="1:23" x14ac:dyDescent="0.3">
      <c r="A66" s="3" t="s">
        <v>253</v>
      </c>
      <c r="B66" s="3">
        <v>31.74</v>
      </c>
      <c r="C66" s="3">
        <v>38.57</v>
      </c>
      <c r="D66" s="3">
        <v>90.41</v>
      </c>
      <c r="E66" s="3">
        <v>57.11</v>
      </c>
      <c r="F66" s="3">
        <v>145</v>
      </c>
      <c r="G66" s="3">
        <v>270.33</v>
      </c>
      <c r="I66" s="3" t="s">
        <v>57</v>
      </c>
      <c r="J66" s="3">
        <v>0</v>
      </c>
      <c r="K66" s="3">
        <v>0</v>
      </c>
      <c r="L66" s="3">
        <v>0</v>
      </c>
      <c r="M66" s="3">
        <v>0</v>
      </c>
      <c r="N66" s="3">
        <v>0</v>
      </c>
      <c r="O66" s="3">
        <v>0</v>
      </c>
      <c r="Q66" s="3" t="s">
        <v>139</v>
      </c>
      <c r="R66" s="3">
        <v>0</v>
      </c>
      <c r="S66" s="3">
        <v>0</v>
      </c>
      <c r="T66" s="3">
        <v>0</v>
      </c>
      <c r="U66" s="3">
        <v>0</v>
      </c>
      <c r="V66" s="3">
        <v>0</v>
      </c>
      <c r="W66" s="3">
        <v>0</v>
      </c>
    </row>
    <row r="67" spans="1:23" x14ac:dyDescent="0.3">
      <c r="A67" s="3" t="s">
        <v>254</v>
      </c>
      <c r="B67" s="3">
        <v>31.74</v>
      </c>
      <c r="C67" s="3">
        <v>38.56</v>
      </c>
      <c r="D67" s="3">
        <v>90.41</v>
      </c>
      <c r="E67" s="3">
        <v>57.11</v>
      </c>
      <c r="F67" s="3">
        <v>144.99</v>
      </c>
      <c r="G67" s="3">
        <v>270.13</v>
      </c>
      <c r="I67" s="5"/>
      <c r="J67" s="5"/>
      <c r="K67" s="5"/>
      <c r="L67" s="5"/>
      <c r="M67" s="5"/>
      <c r="N67" s="5"/>
      <c r="O67" s="5"/>
      <c r="Q67" s="3" t="s">
        <v>140</v>
      </c>
      <c r="R67" s="3">
        <v>0</v>
      </c>
      <c r="S67" s="3">
        <v>0</v>
      </c>
      <c r="T67" s="3">
        <v>0</v>
      </c>
      <c r="U67" s="3">
        <v>7846.07</v>
      </c>
      <c r="V67" s="3">
        <v>0</v>
      </c>
      <c r="W67" s="3">
        <v>8794.2099999999991</v>
      </c>
    </row>
    <row r="68" spans="1:23" x14ac:dyDescent="0.3">
      <c r="A68" s="3" t="s">
        <v>255</v>
      </c>
      <c r="B68" s="5"/>
      <c r="C68" s="5"/>
      <c r="D68" s="5"/>
      <c r="E68" s="5"/>
      <c r="F68" s="5"/>
      <c r="G68" s="5"/>
      <c r="I68" s="3" t="s">
        <v>58</v>
      </c>
      <c r="J68" s="4">
        <v>2275</v>
      </c>
      <c r="K68" s="4">
        <v>2275</v>
      </c>
      <c r="L68" s="4">
        <v>2275</v>
      </c>
      <c r="M68" s="4">
        <v>2275</v>
      </c>
      <c r="N68" s="3">
        <v>775</v>
      </c>
      <c r="O68" s="3">
        <v>0</v>
      </c>
      <c r="Q68" s="3" t="s">
        <v>141</v>
      </c>
      <c r="R68" s="3">
        <v>0</v>
      </c>
      <c r="S68" s="3">
        <v>0</v>
      </c>
      <c r="T68" s="3">
        <v>0</v>
      </c>
      <c r="U68" s="3">
        <v>0</v>
      </c>
      <c r="V68" s="3">
        <v>0</v>
      </c>
      <c r="W68" s="3">
        <v>0</v>
      </c>
    </row>
    <row r="69" spans="1:23" x14ac:dyDescent="0.3">
      <c r="A69" s="3" t="s">
        <v>256</v>
      </c>
      <c r="B69" s="3">
        <v>0</v>
      </c>
      <c r="C69" s="3">
        <v>0</v>
      </c>
      <c r="D69" s="3">
        <v>0</v>
      </c>
      <c r="E69" s="3">
        <v>0</v>
      </c>
      <c r="F69" s="3">
        <v>0</v>
      </c>
      <c r="G69" s="3">
        <v>0</v>
      </c>
      <c r="I69" s="3" t="s">
        <v>59</v>
      </c>
      <c r="J69" s="3">
        <v>0.01</v>
      </c>
      <c r="K69" s="3">
        <v>0.02</v>
      </c>
      <c r="L69" s="3">
        <v>0</v>
      </c>
      <c r="M69" s="3">
        <v>0</v>
      </c>
      <c r="N69" s="3">
        <v>3.78</v>
      </c>
      <c r="O69" s="3">
        <v>0</v>
      </c>
      <c r="Q69" s="3" t="s">
        <v>142</v>
      </c>
      <c r="R69" s="3">
        <v>0</v>
      </c>
      <c r="S69" s="3">
        <v>0</v>
      </c>
      <c r="T69" s="3">
        <v>0</v>
      </c>
      <c r="U69" s="3">
        <v>0</v>
      </c>
      <c r="V69" s="3">
        <v>0</v>
      </c>
      <c r="W69" s="3">
        <v>0</v>
      </c>
    </row>
    <row r="70" spans="1:23" x14ac:dyDescent="0.3">
      <c r="A70" s="3" t="s">
        <v>257</v>
      </c>
      <c r="B70" s="3">
        <v>0</v>
      </c>
      <c r="C70" s="3">
        <v>0</v>
      </c>
      <c r="D70" s="3">
        <v>0</v>
      </c>
      <c r="E70" s="3">
        <v>0</v>
      </c>
      <c r="F70" s="3">
        <v>0</v>
      </c>
      <c r="G70" s="3">
        <v>0</v>
      </c>
      <c r="I70" s="5"/>
      <c r="J70" s="5"/>
      <c r="K70" s="5"/>
      <c r="L70" s="5"/>
      <c r="M70" s="5"/>
      <c r="N70" s="5"/>
      <c r="O70" s="5"/>
      <c r="Q70" s="3" t="s">
        <v>143</v>
      </c>
      <c r="R70" s="3">
        <v>0</v>
      </c>
      <c r="S70" s="3">
        <v>0</v>
      </c>
      <c r="T70" s="3">
        <v>0</v>
      </c>
      <c r="U70" s="3">
        <v>0</v>
      </c>
      <c r="V70" s="3">
        <v>0</v>
      </c>
      <c r="W70" s="3">
        <v>0</v>
      </c>
    </row>
    <row r="71" spans="1:23" x14ac:dyDescent="0.3">
      <c r="A71" s="3" t="s">
        <v>258</v>
      </c>
      <c r="B71" s="3">
        <v>0</v>
      </c>
      <c r="C71" s="3">
        <v>0</v>
      </c>
      <c r="D71" s="3">
        <v>0</v>
      </c>
      <c r="E71" s="3">
        <v>0</v>
      </c>
      <c r="F71" s="3">
        <v>0</v>
      </c>
      <c r="G71" s="3">
        <v>0</v>
      </c>
      <c r="I71" s="3" t="s">
        <v>60</v>
      </c>
      <c r="J71" s="4">
        <v>51934.01</v>
      </c>
      <c r="K71" s="4">
        <v>63789.84</v>
      </c>
      <c r="L71" s="4">
        <v>72729.710000000006</v>
      </c>
      <c r="M71" s="4">
        <v>76838.12</v>
      </c>
      <c r="N71" s="4">
        <v>95185.12</v>
      </c>
      <c r="O71" s="4">
        <v>125433.76</v>
      </c>
      <c r="Q71" s="3" t="s">
        <v>144</v>
      </c>
      <c r="R71" s="3">
        <v>0</v>
      </c>
      <c r="S71" s="3">
        <v>0</v>
      </c>
      <c r="T71" s="3">
        <v>0</v>
      </c>
      <c r="U71" s="3">
        <v>0</v>
      </c>
      <c r="V71" s="3">
        <v>0</v>
      </c>
      <c r="W71" s="3">
        <v>0</v>
      </c>
    </row>
    <row r="72" spans="1:23" x14ac:dyDescent="0.3">
      <c r="A72" s="3" t="s">
        <v>259</v>
      </c>
      <c r="B72" s="3">
        <v>0</v>
      </c>
      <c r="C72" s="3">
        <v>0</v>
      </c>
      <c r="D72" s="3">
        <v>0</v>
      </c>
      <c r="E72" s="3">
        <v>0</v>
      </c>
      <c r="F72" s="3">
        <v>0</v>
      </c>
      <c r="G72" s="3">
        <v>0</v>
      </c>
      <c r="I72" s="5"/>
      <c r="J72" s="5"/>
      <c r="K72" s="5"/>
      <c r="L72" s="5"/>
      <c r="M72" s="5"/>
      <c r="N72" s="5"/>
      <c r="O72" s="5"/>
      <c r="Q72" s="3" t="s">
        <v>145</v>
      </c>
      <c r="R72" s="3">
        <v>0</v>
      </c>
      <c r="S72" s="3">
        <v>0</v>
      </c>
      <c r="T72" s="3">
        <v>0</v>
      </c>
      <c r="U72" s="3">
        <v>0</v>
      </c>
      <c r="V72" s="3">
        <v>0</v>
      </c>
      <c r="W72" s="3">
        <v>0</v>
      </c>
    </row>
    <row r="73" spans="1:23" x14ac:dyDescent="0.3">
      <c r="A73" s="3" t="s">
        <v>260</v>
      </c>
      <c r="B73" s="3">
        <v>0</v>
      </c>
      <c r="C73" s="3">
        <v>0</v>
      </c>
      <c r="D73" s="3">
        <v>0</v>
      </c>
      <c r="E73" s="3">
        <v>0</v>
      </c>
      <c r="F73" s="3">
        <v>0</v>
      </c>
      <c r="G73" s="3">
        <v>0</v>
      </c>
      <c r="I73" s="3" t="s">
        <v>61</v>
      </c>
      <c r="J73" s="4">
        <v>51934.01</v>
      </c>
      <c r="K73" s="4">
        <v>63789.84</v>
      </c>
      <c r="L73" s="4">
        <v>72729.710000000006</v>
      </c>
      <c r="M73" s="4">
        <v>76838.12</v>
      </c>
      <c r="N73" s="4">
        <v>95185.12</v>
      </c>
      <c r="O73" s="4">
        <v>125433.76</v>
      </c>
      <c r="Q73" s="3" t="s">
        <v>146</v>
      </c>
      <c r="R73" s="3">
        <v>0</v>
      </c>
      <c r="S73" s="3">
        <v>0</v>
      </c>
      <c r="T73" s="3">
        <v>0</v>
      </c>
      <c r="U73" s="3">
        <v>0</v>
      </c>
      <c r="V73" s="3">
        <v>0</v>
      </c>
      <c r="W73" s="3">
        <v>0</v>
      </c>
    </row>
    <row r="74" spans="1:23" x14ac:dyDescent="0.3">
      <c r="A74" s="3" t="s">
        <v>261</v>
      </c>
      <c r="B74" s="3">
        <v>10</v>
      </c>
      <c r="C74" s="3">
        <v>10</v>
      </c>
      <c r="D74" s="3">
        <v>13</v>
      </c>
      <c r="E74" s="3">
        <v>10</v>
      </c>
      <c r="F74" s="3">
        <v>25</v>
      </c>
      <c r="G74" s="3">
        <v>51</v>
      </c>
      <c r="I74" s="5"/>
      <c r="J74" s="5"/>
      <c r="K74" s="5"/>
      <c r="L74" s="5"/>
      <c r="M74" s="5"/>
      <c r="N74" s="5"/>
      <c r="O74" s="5"/>
      <c r="Q74" s="3" t="s">
        <v>147</v>
      </c>
      <c r="R74" s="3">
        <v>0</v>
      </c>
      <c r="S74" s="3">
        <v>0</v>
      </c>
      <c r="T74" s="3">
        <v>-4448.0600000000004</v>
      </c>
      <c r="U74" s="3">
        <v>-2866.18</v>
      </c>
      <c r="V74" s="3">
        <v>-20275.68</v>
      </c>
      <c r="W74" s="3">
        <v>-9380.7199999999993</v>
      </c>
    </row>
    <row r="75" spans="1:23" x14ac:dyDescent="0.3">
      <c r="A75" s="3" t="s">
        <v>262</v>
      </c>
      <c r="B75" s="3">
        <v>10</v>
      </c>
      <c r="C75" s="3">
        <v>10</v>
      </c>
      <c r="D75" s="3">
        <v>13</v>
      </c>
      <c r="E75" s="3">
        <v>10</v>
      </c>
      <c r="F75" s="3">
        <v>25</v>
      </c>
      <c r="G75" s="3">
        <v>51</v>
      </c>
      <c r="I75" s="3" t="s">
        <v>62</v>
      </c>
      <c r="J75" s="5"/>
      <c r="K75" s="5"/>
      <c r="L75" s="5"/>
      <c r="M75" s="5"/>
      <c r="N75" s="5"/>
      <c r="O75" s="5"/>
      <c r="Q75" s="3" t="s">
        <v>148</v>
      </c>
      <c r="R75" s="3">
        <v>0</v>
      </c>
      <c r="S75" s="3">
        <v>0</v>
      </c>
      <c r="T75" s="3">
        <v>-26.35</v>
      </c>
      <c r="U75" s="3">
        <v>0</v>
      </c>
      <c r="V75" s="3">
        <v>-8447.6</v>
      </c>
      <c r="W75" s="3">
        <v>0</v>
      </c>
    </row>
    <row r="76" spans="1:23" x14ac:dyDescent="0.3">
      <c r="A76" s="3" t="s">
        <v>263</v>
      </c>
      <c r="B76" s="5"/>
      <c r="C76" s="5"/>
      <c r="D76" s="5"/>
      <c r="E76" s="5"/>
      <c r="F76" s="5"/>
      <c r="G76" s="5"/>
      <c r="I76" s="3" t="s">
        <v>63</v>
      </c>
      <c r="J76" s="4">
        <v>24694.37</v>
      </c>
      <c r="K76" s="4">
        <v>24568.95</v>
      </c>
      <c r="L76" s="4">
        <v>26651.19</v>
      </c>
      <c r="M76" s="4">
        <v>31381.96</v>
      </c>
      <c r="N76" s="4">
        <v>31545.41</v>
      </c>
      <c r="O76" s="4">
        <v>20290.810000000001</v>
      </c>
      <c r="Q76" s="3" t="s">
        <v>149</v>
      </c>
      <c r="R76" s="3">
        <v>-111.63</v>
      </c>
      <c r="S76" s="3">
        <v>-108.14</v>
      </c>
      <c r="T76" s="3">
        <v>-89.25</v>
      </c>
      <c r="U76" s="3">
        <v>-260.66000000000003</v>
      </c>
      <c r="V76" s="3">
        <v>-488.39</v>
      </c>
      <c r="W76" s="3">
        <v>-483.03</v>
      </c>
    </row>
    <row r="77" spans="1:23" x14ac:dyDescent="0.3">
      <c r="A77" s="3" t="s">
        <v>256</v>
      </c>
      <c r="B77" s="3">
        <v>0</v>
      </c>
      <c r="C77" s="3">
        <v>0</v>
      </c>
      <c r="D77" s="3">
        <v>0</v>
      </c>
      <c r="E77" s="3">
        <v>0</v>
      </c>
      <c r="F77" s="3">
        <v>0</v>
      </c>
      <c r="G77" s="3">
        <v>0</v>
      </c>
      <c r="I77" s="3" t="s">
        <v>64</v>
      </c>
      <c r="J77" s="3">
        <v>197.55</v>
      </c>
      <c r="K77" s="3">
        <v>89.86</v>
      </c>
      <c r="L77" s="3">
        <v>184.89</v>
      </c>
      <c r="M77" s="3">
        <v>416.14</v>
      </c>
      <c r="N77" s="3">
        <v>529.80999999999995</v>
      </c>
      <c r="O77" s="3">
        <v>893.41</v>
      </c>
      <c r="Q77" s="3" t="s">
        <v>150</v>
      </c>
      <c r="R77" s="3">
        <v>-776.97</v>
      </c>
      <c r="S77" s="3">
        <v>-971.22</v>
      </c>
      <c r="T77" s="3">
        <v>-1145.92</v>
      </c>
      <c r="U77" s="3">
        <v>-1489.67</v>
      </c>
      <c r="V77" s="3">
        <v>-1145.92</v>
      </c>
      <c r="W77" s="3">
        <v>-3007.08</v>
      </c>
    </row>
    <row r="78" spans="1:23" x14ac:dyDescent="0.3">
      <c r="A78" s="3" t="s">
        <v>257</v>
      </c>
      <c r="B78" s="3">
        <v>0</v>
      </c>
      <c r="C78" s="3">
        <v>0</v>
      </c>
      <c r="D78" s="3">
        <v>0</v>
      </c>
      <c r="E78" s="3">
        <v>0</v>
      </c>
      <c r="F78" s="3">
        <v>0</v>
      </c>
      <c r="G78" s="3">
        <v>0</v>
      </c>
      <c r="I78" s="3" t="s">
        <v>65</v>
      </c>
      <c r="J78" s="3">
        <v>0</v>
      </c>
      <c r="K78" s="3">
        <v>0</v>
      </c>
      <c r="L78" s="3">
        <v>0</v>
      </c>
      <c r="M78" s="3">
        <v>0</v>
      </c>
      <c r="N78" s="3">
        <v>0</v>
      </c>
      <c r="O78" s="3">
        <v>0</v>
      </c>
      <c r="Q78" s="3" t="s">
        <v>151</v>
      </c>
      <c r="R78" s="3">
        <v>0</v>
      </c>
      <c r="S78" s="3">
        <v>0</v>
      </c>
      <c r="T78" s="3">
        <v>0</v>
      </c>
      <c r="U78" s="3">
        <v>0</v>
      </c>
      <c r="V78" s="3">
        <v>0</v>
      </c>
      <c r="W78" s="3">
        <v>0</v>
      </c>
    </row>
    <row r="79" spans="1:23" x14ac:dyDescent="0.3">
      <c r="A79" s="3" t="s">
        <v>258</v>
      </c>
      <c r="B79" s="3">
        <v>0</v>
      </c>
      <c r="C79" s="3">
        <v>0</v>
      </c>
      <c r="D79" s="3">
        <v>0</v>
      </c>
      <c r="E79" s="3">
        <v>0</v>
      </c>
      <c r="F79" s="3">
        <v>0</v>
      </c>
      <c r="G79" s="3">
        <v>0</v>
      </c>
      <c r="I79" s="3" t="s">
        <v>66</v>
      </c>
      <c r="J79" s="4">
        <v>2024.74</v>
      </c>
      <c r="K79" s="4">
        <v>1961.21</v>
      </c>
      <c r="L79" s="4">
        <v>1918.18</v>
      </c>
      <c r="M79" s="4">
        <v>2113.56</v>
      </c>
      <c r="N79" s="4">
        <v>2572.23</v>
      </c>
      <c r="O79" s="4">
        <v>2685</v>
      </c>
      <c r="Q79" s="3" t="s">
        <v>152</v>
      </c>
      <c r="R79" s="3">
        <v>-2624.51</v>
      </c>
      <c r="S79" s="3">
        <v>-2769.66</v>
      </c>
      <c r="T79" s="3">
        <v>-2607.88</v>
      </c>
      <c r="U79" s="3">
        <v>-3084.03</v>
      </c>
      <c r="V79" s="3">
        <v>-4311.1000000000004</v>
      </c>
      <c r="W79" s="3">
        <v>-2868.17</v>
      </c>
    </row>
    <row r="80" spans="1:23" x14ac:dyDescent="0.3">
      <c r="A80" s="3" t="s">
        <v>259</v>
      </c>
      <c r="B80" s="3">
        <v>0</v>
      </c>
      <c r="C80" s="3">
        <v>0</v>
      </c>
      <c r="D80" s="3">
        <v>0</v>
      </c>
      <c r="E80" s="3">
        <v>0</v>
      </c>
      <c r="F80" s="3">
        <v>0</v>
      </c>
      <c r="G80" s="3">
        <v>0</v>
      </c>
      <c r="I80" s="3" t="s">
        <v>67</v>
      </c>
      <c r="J80" s="4">
        <v>6111.27</v>
      </c>
      <c r="K80" s="4">
        <v>6259.09</v>
      </c>
      <c r="L80" s="4">
        <v>7807</v>
      </c>
      <c r="M80" s="4">
        <v>5862.28</v>
      </c>
      <c r="N80" s="4">
        <v>8517.7800000000007</v>
      </c>
      <c r="O80" s="4">
        <v>8087.57</v>
      </c>
      <c r="Q80" s="3" t="s">
        <v>2</v>
      </c>
      <c r="R80" s="3">
        <v>-3766.61</v>
      </c>
      <c r="S80" s="3">
        <v>-1072.6300000000001</v>
      </c>
      <c r="T80" s="3">
        <v>-480.73</v>
      </c>
      <c r="U80" s="3">
        <v>-568.66</v>
      </c>
      <c r="V80" s="3">
        <v>-1734.9</v>
      </c>
      <c r="W80" s="3">
        <v>-785.86</v>
      </c>
    </row>
    <row r="81" spans="1:23" x14ac:dyDescent="0.3">
      <c r="A81" s="3" t="s">
        <v>260</v>
      </c>
      <c r="B81" s="3">
        <v>0</v>
      </c>
      <c r="C81" s="3">
        <v>0</v>
      </c>
      <c r="D81" s="3">
        <v>0</v>
      </c>
      <c r="E81" s="3">
        <v>0</v>
      </c>
      <c r="F81" s="3">
        <v>0</v>
      </c>
      <c r="G81" s="3">
        <v>0</v>
      </c>
      <c r="I81" s="3" t="s">
        <v>68</v>
      </c>
      <c r="J81" s="3">
        <v>0</v>
      </c>
      <c r="K81" s="3">
        <v>0</v>
      </c>
      <c r="L81" s="3">
        <v>0</v>
      </c>
      <c r="M81" s="3">
        <v>0</v>
      </c>
      <c r="N81" s="3">
        <v>0</v>
      </c>
      <c r="O81" s="3">
        <v>0</v>
      </c>
      <c r="Q81" s="3" t="s">
        <v>153</v>
      </c>
      <c r="R81" s="3">
        <v>-69.47</v>
      </c>
      <c r="S81" s="4">
        <v>3683.68</v>
      </c>
      <c r="T81" s="4">
        <v>-4044.04</v>
      </c>
      <c r="U81" s="3">
        <v>448.79</v>
      </c>
      <c r="V81" s="3">
        <v>504.06</v>
      </c>
      <c r="W81" s="3">
        <v>450.28</v>
      </c>
    </row>
    <row r="82" spans="1:23" x14ac:dyDescent="0.3">
      <c r="A82" s="3" t="s">
        <v>261</v>
      </c>
      <c r="B82" s="3">
        <v>10</v>
      </c>
      <c r="C82" s="3">
        <v>10</v>
      </c>
      <c r="D82" s="3">
        <v>13</v>
      </c>
      <c r="E82" s="3">
        <v>10</v>
      </c>
      <c r="F82" s="3">
        <v>25</v>
      </c>
      <c r="G82" s="3">
        <v>51</v>
      </c>
      <c r="I82" s="3" t="s">
        <v>69</v>
      </c>
      <c r="J82" s="4">
        <v>3447.14</v>
      </c>
      <c r="K82" s="4">
        <v>2838.05</v>
      </c>
      <c r="L82" s="4">
        <v>2613.7399999999998</v>
      </c>
      <c r="M82" s="4">
        <v>2909.2</v>
      </c>
      <c r="N82" s="4">
        <v>8059.36</v>
      </c>
      <c r="O82" s="4">
        <v>7203.94</v>
      </c>
      <c r="Q82" s="3" t="s">
        <v>154</v>
      </c>
      <c r="R82" s="3">
        <v>905.21</v>
      </c>
      <c r="S82" s="4">
        <v>4588.8900000000003</v>
      </c>
      <c r="T82" s="3">
        <v>544.85</v>
      </c>
      <c r="U82" s="3">
        <v>993.64</v>
      </c>
      <c r="V82" s="4">
        <v>2221.31</v>
      </c>
      <c r="W82" s="4">
        <v>2671.59</v>
      </c>
    </row>
    <row r="83" spans="1:23" x14ac:dyDescent="0.3">
      <c r="A83" s="3" t="s">
        <v>264</v>
      </c>
      <c r="B83" s="3">
        <v>100</v>
      </c>
      <c r="C83" s="3">
        <v>100</v>
      </c>
      <c r="D83" s="3">
        <v>130</v>
      </c>
      <c r="E83" s="3">
        <v>100</v>
      </c>
      <c r="F83" s="3">
        <v>250</v>
      </c>
      <c r="G83" s="3">
        <v>510</v>
      </c>
      <c r="I83" s="3" t="s">
        <v>70</v>
      </c>
      <c r="J83" s="4">
        <v>36475.07</v>
      </c>
      <c r="K83" s="4">
        <v>35717.160000000003</v>
      </c>
      <c r="L83" s="4">
        <v>39175</v>
      </c>
      <c r="M83" s="4">
        <v>42683.14</v>
      </c>
      <c r="N83" s="4">
        <v>55238.21</v>
      </c>
      <c r="O83" s="4">
        <v>42887.63</v>
      </c>
      <c r="Q83" s="3" t="s">
        <v>6</v>
      </c>
      <c r="R83" s="5"/>
      <c r="S83" s="6"/>
      <c r="T83" s="6"/>
      <c r="U83" s="6"/>
      <c r="V83" s="6"/>
      <c r="W83" s="7" t="s">
        <v>7</v>
      </c>
    </row>
    <row r="84" spans="1:23" x14ac:dyDescent="0.3">
      <c r="A84" s="3" t="s">
        <v>265</v>
      </c>
      <c r="B84" s="3">
        <v>971.22</v>
      </c>
      <c r="C84" s="4">
        <v>1144.75</v>
      </c>
      <c r="D84" s="4">
        <v>1565.36</v>
      </c>
      <c r="E84" s="4">
        <v>1204.1300000000001</v>
      </c>
      <c r="F84" s="4">
        <v>3010.32</v>
      </c>
      <c r="G84" s="4">
        <v>6233.95</v>
      </c>
      <c r="I84" s="5"/>
      <c r="J84" s="5"/>
      <c r="K84" s="5"/>
      <c r="L84" s="5"/>
      <c r="M84" s="5"/>
      <c r="N84" s="5"/>
      <c r="O84" s="5"/>
    </row>
    <row r="85" spans="1:23" x14ac:dyDescent="0.3">
      <c r="A85" s="3" t="s">
        <v>5</v>
      </c>
      <c r="B85" s="3">
        <v>0</v>
      </c>
      <c r="C85" s="3">
        <v>0</v>
      </c>
      <c r="D85" s="3">
        <v>0</v>
      </c>
      <c r="E85" s="3">
        <v>0</v>
      </c>
      <c r="F85" s="3">
        <v>0</v>
      </c>
      <c r="G85" s="3">
        <v>0</v>
      </c>
      <c r="I85" s="3" t="s">
        <v>71</v>
      </c>
      <c r="J85" s="5"/>
      <c r="K85" s="5"/>
      <c r="L85" s="5"/>
      <c r="M85" s="5"/>
      <c r="N85" s="5"/>
      <c r="O85" s="5"/>
    </row>
    <row r="86" spans="1:23" x14ac:dyDescent="0.3">
      <c r="A86" s="3" t="s">
        <v>266</v>
      </c>
      <c r="B86" s="3">
        <v>103.05</v>
      </c>
      <c r="C86" s="3">
        <v>103.62</v>
      </c>
      <c r="D86" s="3">
        <v>114.59</v>
      </c>
      <c r="E86" s="3">
        <v>114.59</v>
      </c>
      <c r="F86" s="3">
        <v>116.53</v>
      </c>
      <c r="G86" s="3">
        <v>122.11</v>
      </c>
      <c r="I86" s="5"/>
      <c r="J86" s="5"/>
      <c r="K86" s="5"/>
      <c r="L86" s="5"/>
      <c r="M86" s="5"/>
      <c r="N86" s="5"/>
      <c r="O86" s="5"/>
    </row>
    <row r="87" spans="1:23" x14ac:dyDescent="0.3">
      <c r="A87" s="3" t="s">
        <v>267</v>
      </c>
      <c r="B87" s="3">
        <v>103.06</v>
      </c>
      <c r="C87" s="3">
        <v>103.64</v>
      </c>
      <c r="D87" s="3">
        <v>114.61</v>
      </c>
      <c r="E87" s="3">
        <v>114.6</v>
      </c>
      <c r="F87" s="3">
        <v>116.54</v>
      </c>
      <c r="G87" s="3">
        <v>122.2</v>
      </c>
      <c r="I87" s="3" t="s">
        <v>72</v>
      </c>
      <c r="J87" s="4">
        <v>3239.67</v>
      </c>
      <c r="K87" s="3">
        <v>669.88</v>
      </c>
      <c r="L87" s="3">
        <v>8.09</v>
      </c>
      <c r="M87" s="4">
        <v>7857.27</v>
      </c>
      <c r="N87" s="3">
        <v>984.68</v>
      </c>
      <c r="O87" s="4">
        <v>11984.66</v>
      </c>
    </row>
    <row r="88" spans="1:23" x14ac:dyDescent="0.3">
      <c r="A88" s="3" t="s">
        <v>268</v>
      </c>
      <c r="B88" s="3">
        <v>0</v>
      </c>
      <c r="C88" s="3">
        <v>0</v>
      </c>
      <c r="D88" s="3">
        <v>0</v>
      </c>
      <c r="E88" s="3">
        <v>0</v>
      </c>
      <c r="F88" s="3">
        <v>0</v>
      </c>
      <c r="G88" s="3">
        <v>0</v>
      </c>
      <c r="I88" s="3" t="s">
        <v>73</v>
      </c>
      <c r="J88" s="4">
        <v>10717.44</v>
      </c>
      <c r="K88" s="4">
        <v>11242.75</v>
      </c>
      <c r="L88" s="4">
        <v>10969.56</v>
      </c>
      <c r="M88" s="4">
        <v>10600.96</v>
      </c>
      <c r="N88" s="4">
        <v>13426.21</v>
      </c>
      <c r="O88" s="4">
        <v>21091.14</v>
      </c>
    </row>
    <row r="89" spans="1:23" x14ac:dyDescent="0.3">
      <c r="A89" s="3" t="s">
        <v>269</v>
      </c>
      <c r="B89" s="3">
        <v>971.22</v>
      </c>
      <c r="C89" s="4">
        <v>1144.75</v>
      </c>
      <c r="D89" s="4">
        <v>1565.36</v>
      </c>
      <c r="E89" s="4">
        <v>1204.1300000000001</v>
      </c>
      <c r="F89" s="4">
        <v>3010.32</v>
      </c>
      <c r="G89" s="4">
        <v>6233.95</v>
      </c>
      <c r="I89" s="3" t="s">
        <v>74</v>
      </c>
      <c r="J89" s="4">
        <v>4332.5200000000004</v>
      </c>
      <c r="K89" s="4">
        <v>6557.81</v>
      </c>
      <c r="L89" s="4">
        <v>7011.92</v>
      </c>
      <c r="M89" s="4">
        <v>5483.24</v>
      </c>
      <c r="N89" s="4">
        <v>4702.97</v>
      </c>
      <c r="O89" s="4">
        <v>5219.0200000000004</v>
      </c>
      <c r="Q89" s="3"/>
    </row>
    <row r="90" spans="1:23" x14ac:dyDescent="0.3">
      <c r="A90" s="3" t="s">
        <v>270</v>
      </c>
      <c r="B90" s="3">
        <v>0</v>
      </c>
      <c r="C90" s="3">
        <v>0</v>
      </c>
      <c r="D90" s="3">
        <v>0</v>
      </c>
      <c r="E90" s="3">
        <v>0</v>
      </c>
      <c r="F90" s="3">
        <v>0</v>
      </c>
      <c r="G90" s="3">
        <v>0</v>
      </c>
      <c r="I90" s="3" t="s">
        <v>75</v>
      </c>
      <c r="J90" s="3">
        <v>465.72</v>
      </c>
      <c r="K90" s="3">
        <v>454.06</v>
      </c>
      <c r="L90" s="3">
        <v>358.14</v>
      </c>
      <c r="M90" s="3">
        <v>277.26</v>
      </c>
      <c r="N90" s="3">
        <v>653.75</v>
      </c>
      <c r="O90" s="4">
        <v>1079.69</v>
      </c>
    </row>
    <row r="91" spans="1:23" x14ac:dyDescent="0.3">
      <c r="A91" s="3" t="s">
        <v>271</v>
      </c>
      <c r="B91" s="3">
        <v>0</v>
      </c>
      <c r="C91" s="3">
        <v>0</v>
      </c>
      <c r="D91" s="3">
        <v>0</v>
      </c>
      <c r="E91" s="3">
        <v>0</v>
      </c>
      <c r="F91" s="3">
        <v>0</v>
      </c>
      <c r="G91" s="3">
        <v>0</v>
      </c>
      <c r="I91" s="3" t="s">
        <v>76</v>
      </c>
      <c r="J91" s="3">
        <v>700.6</v>
      </c>
      <c r="K91" s="3">
        <v>735.28</v>
      </c>
      <c r="L91" s="3">
        <v>778.23</v>
      </c>
      <c r="M91" s="3">
        <v>663.86</v>
      </c>
      <c r="N91" s="4">
        <v>1076.9100000000001</v>
      </c>
      <c r="O91" s="4">
        <v>1082.42</v>
      </c>
    </row>
    <row r="92" spans="1:23" x14ac:dyDescent="0.3">
      <c r="A92" s="3" t="s">
        <v>272</v>
      </c>
      <c r="B92" s="3">
        <v>0</v>
      </c>
      <c r="C92" s="3">
        <v>0</v>
      </c>
      <c r="D92" s="3">
        <v>0</v>
      </c>
      <c r="E92" s="3">
        <v>0</v>
      </c>
      <c r="F92" s="3">
        <v>0</v>
      </c>
      <c r="G92" s="3">
        <v>0</v>
      </c>
      <c r="I92" s="3" t="s">
        <v>68</v>
      </c>
      <c r="J92" s="3">
        <v>0</v>
      </c>
      <c r="K92" s="3">
        <v>0</v>
      </c>
      <c r="L92" s="3">
        <v>0</v>
      </c>
      <c r="M92" s="3">
        <v>0</v>
      </c>
      <c r="N92" s="3">
        <v>0</v>
      </c>
      <c r="O92" s="3">
        <v>0</v>
      </c>
    </row>
    <row r="93" spans="1:23" x14ac:dyDescent="0.3">
      <c r="A93" s="3" t="s">
        <v>6</v>
      </c>
      <c r="B93" s="5"/>
      <c r="C93" s="6"/>
      <c r="D93" s="6"/>
      <c r="E93" s="6"/>
      <c r="F93" s="6"/>
      <c r="G93" s="7"/>
      <c r="I93" s="3" t="s">
        <v>77</v>
      </c>
      <c r="J93" s="4">
        <v>3600.38</v>
      </c>
      <c r="K93" s="4">
        <v>5947.56</v>
      </c>
      <c r="L93" s="4">
        <v>6467.71</v>
      </c>
      <c r="M93" s="4">
        <v>5988.71</v>
      </c>
      <c r="N93" s="4">
        <v>8701.2999999999993</v>
      </c>
      <c r="O93" s="4">
        <v>12685.76</v>
      </c>
    </row>
    <row r="94" spans="1:23" x14ac:dyDescent="0.3">
      <c r="I94" s="3" t="s">
        <v>78</v>
      </c>
      <c r="J94" s="3">
        <v>0</v>
      </c>
      <c r="K94" s="3">
        <v>0</v>
      </c>
      <c r="L94" s="3">
        <v>0</v>
      </c>
      <c r="M94" s="3">
        <v>0</v>
      </c>
      <c r="N94" s="3">
        <v>0</v>
      </c>
      <c r="O94" s="3">
        <v>0</v>
      </c>
    </row>
    <row r="95" spans="1:23" x14ac:dyDescent="0.3">
      <c r="I95" s="3" t="s">
        <v>79</v>
      </c>
      <c r="J95" s="4">
        <v>23056.33</v>
      </c>
      <c r="K95" s="4">
        <v>25607.34</v>
      </c>
      <c r="L95" s="4">
        <v>25593.65</v>
      </c>
      <c r="M95" s="4">
        <v>30871.3</v>
      </c>
      <c r="N95" s="4">
        <v>30067.599999999999</v>
      </c>
      <c r="O95" s="4">
        <v>53664.83</v>
      </c>
    </row>
    <row r="96" spans="1:23" x14ac:dyDescent="0.3">
      <c r="I96" s="5"/>
      <c r="J96" s="5"/>
      <c r="K96" s="5"/>
      <c r="L96" s="5"/>
      <c r="M96" s="5"/>
      <c r="N96" s="5"/>
      <c r="O96" s="5"/>
    </row>
    <row r="97" spans="9:15" x14ac:dyDescent="0.3">
      <c r="I97" s="3" t="s">
        <v>80</v>
      </c>
      <c r="J97" s="4">
        <v>111465.41</v>
      </c>
      <c r="K97" s="4">
        <v>125114.34</v>
      </c>
      <c r="L97" s="4">
        <v>137498.35999999999</v>
      </c>
      <c r="M97" s="4">
        <v>150392.56</v>
      </c>
      <c r="N97" s="4">
        <v>180490.93</v>
      </c>
      <c r="O97" s="4">
        <v>221986.22</v>
      </c>
    </row>
    <row r="98" spans="9:15" x14ac:dyDescent="0.3">
      <c r="I98" s="5"/>
      <c r="J98" s="5"/>
      <c r="K98" s="5"/>
      <c r="L98" s="5"/>
      <c r="M98" s="5"/>
      <c r="N98" s="5"/>
      <c r="O98" s="5"/>
    </row>
    <row r="99" spans="9:15" x14ac:dyDescent="0.3">
      <c r="I99" s="3" t="s">
        <v>81</v>
      </c>
      <c r="J99" s="4">
        <v>25991.17</v>
      </c>
      <c r="K99" s="4">
        <v>28359.62</v>
      </c>
      <c r="L99" s="4">
        <v>35561.449999999997</v>
      </c>
      <c r="M99" s="4">
        <v>39253.01</v>
      </c>
      <c r="N99" s="4">
        <v>40644.99</v>
      </c>
      <c r="O99" s="4">
        <v>47846.78</v>
      </c>
    </row>
    <row r="100" spans="9:15" x14ac:dyDescent="0.3">
      <c r="I100" s="3" t="s">
        <v>333</v>
      </c>
      <c r="J100" s="3">
        <v>472.56</v>
      </c>
      <c r="K100" s="3">
        <v>535.82000000000005</v>
      </c>
      <c r="L100" s="3">
        <v>614.24</v>
      </c>
      <c r="M100" s="3">
        <v>652.21</v>
      </c>
      <c r="N100" s="3">
        <v>785.21</v>
      </c>
      <c r="O100" s="4">
        <v>1019.17</v>
      </c>
    </row>
  </sheetData>
  <sortState xmlns:xlrd2="http://schemas.microsoft.com/office/spreadsheetml/2017/richdata2" columnSort="1" ref="R1:W101">
    <sortCondition ref="R2:W2"/>
  </sortState>
  <mergeCells count="3">
    <mergeCell ref="A1:G1"/>
    <mergeCell ref="I1:O1"/>
    <mergeCell ref="Q1: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CA21-0DC4-44AD-8B60-077967B1ADB9}">
  <dimension ref="A1:E11"/>
  <sheetViews>
    <sheetView topLeftCell="A6" zoomScale="88" workbookViewId="0">
      <selection activeCell="E2" sqref="E2"/>
    </sheetView>
  </sheetViews>
  <sheetFormatPr defaultRowHeight="14.4" x14ac:dyDescent="0.3"/>
  <cols>
    <col min="1" max="1" width="7" customWidth="1"/>
    <col min="2" max="2" width="22.109375" customWidth="1"/>
    <col min="3" max="3" width="14.88671875" customWidth="1"/>
    <col min="4" max="4" width="55.88671875" customWidth="1"/>
    <col min="5" max="5" width="52.21875" customWidth="1"/>
  </cols>
  <sheetData>
    <row r="1" spans="1:5" ht="16.2" thickBot="1" x14ac:dyDescent="0.35">
      <c r="A1" s="98" t="s">
        <v>559</v>
      </c>
      <c r="B1" s="54" t="s">
        <v>560</v>
      </c>
      <c r="C1" s="98" t="s">
        <v>396</v>
      </c>
      <c r="D1" s="98" t="s">
        <v>397</v>
      </c>
      <c r="E1" s="98" t="s">
        <v>398</v>
      </c>
    </row>
    <row r="2" spans="1:5" ht="47.4" thickBot="1" x14ac:dyDescent="0.35">
      <c r="A2" s="99">
        <v>1</v>
      </c>
      <c r="B2" s="100" t="s">
        <v>399</v>
      </c>
      <c r="C2" s="101">
        <v>0</v>
      </c>
      <c r="D2" s="102" t="s">
        <v>407</v>
      </c>
      <c r="E2" s="102" t="s">
        <v>411</v>
      </c>
    </row>
    <row r="3" spans="1:5" ht="63" thickBot="1" x14ac:dyDescent="0.35">
      <c r="A3" s="99"/>
      <c r="B3" s="100" t="s">
        <v>442</v>
      </c>
      <c r="C3" s="103">
        <v>9.6100000000000005E-2</v>
      </c>
      <c r="D3" s="102" t="s">
        <v>443</v>
      </c>
      <c r="E3" s="102" t="s">
        <v>444</v>
      </c>
    </row>
    <row r="4" spans="1:5" ht="47.4" thickBot="1" x14ac:dyDescent="0.35">
      <c r="A4" s="99">
        <v>2</v>
      </c>
      <c r="B4" s="100" t="s">
        <v>210</v>
      </c>
      <c r="C4" s="103">
        <v>0.246</v>
      </c>
      <c r="D4" s="102" t="s">
        <v>517</v>
      </c>
      <c r="E4" s="104" t="s">
        <v>518</v>
      </c>
    </row>
    <row r="5" spans="1:5" ht="47.4" thickBot="1" x14ac:dyDescent="0.35">
      <c r="A5" s="99">
        <v>3</v>
      </c>
      <c r="B5" s="100" t="s">
        <v>400</v>
      </c>
      <c r="C5" s="105">
        <v>0</v>
      </c>
      <c r="D5" s="102" t="s">
        <v>558</v>
      </c>
      <c r="E5" s="102" t="s">
        <v>409</v>
      </c>
    </row>
    <row r="6" spans="1:5" ht="31.8" thickBot="1" x14ac:dyDescent="0.35">
      <c r="A6" s="99">
        <v>4</v>
      </c>
      <c r="B6" s="100" t="s">
        <v>401</v>
      </c>
      <c r="C6" s="103">
        <v>7.1290000000000006E-2</v>
      </c>
      <c r="D6" s="102" t="s">
        <v>405</v>
      </c>
      <c r="E6" s="102" t="s">
        <v>410</v>
      </c>
    </row>
    <row r="7" spans="1:5" ht="47.4" thickBot="1" x14ac:dyDescent="0.35">
      <c r="A7" s="99">
        <v>5</v>
      </c>
      <c r="B7" s="100" t="s">
        <v>402</v>
      </c>
      <c r="C7" s="103">
        <v>7.0800000000000002E-2</v>
      </c>
      <c r="D7" s="102" t="s">
        <v>406</v>
      </c>
      <c r="E7" s="102" t="s">
        <v>408</v>
      </c>
    </row>
    <row r="8" spans="1:5" ht="109.8" thickBot="1" x14ac:dyDescent="0.35">
      <c r="A8" s="99">
        <v>6</v>
      </c>
      <c r="B8" s="100" t="s">
        <v>403</v>
      </c>
      <c r="C8" s="103">
        <v>8.2500000000000004E-2</v>
      </c>
      <c r="D8" s="102" t="s">
        <v>519</v>
      </c>
      <c r="E8" s="102" t="s">
        <v>404</v>
      </c>
    </row>
    <row r="9" spans="1:5" ht="31.8" thickBot="1" x14ac:dyDescent="0.35">
      <c r="A9" s="106">
        <v>7</v>
      </c>
      <c r="B9" s="100" t="s">
        <v>489</v>
      </c>
      <c r="C9" s="107">
        <v>0</v>
      </c>
      <c r="D9" s="102" t="s">
        <v>520</v>
      </c>
      <c r="E9" s="82" t="s">
        <v>521</v>
      </c>
    </row>
    <row r="10" spans="1:5" ht="47.4" thickBot="1" x14ac:dyDescent="0.35">
      <c r="A10" s="106">
        <v>8</v>
      </c>
      <c r="B10" s="100" t="s">
        <v>490</v>
      </c>
      <c r="C10" s="107">
        <v>0</v>
      </c>
      <c r="D10" s="102" t="s">
        <v>491</v>
      </c>
      <c r="E10" s="108"/>
    </row>
    <row r="11" spans="1:5" ht="31.8" thickBot="1" x14ac:dyDescent="0.35">
      <c r="A11" s="106">
        <v>9</v>
      </c>
      <c r="B11" s="100" t="s">
        <v>501</v>
      </c>
      <c r="C11" s="107">
        <v>0</v>
      </c>
      <c r="D11" s="102" t="s">
        <v>513</v>
      </c>
      <c r="E11" s="108" t="s">
        <v>514</v>
      </c>
    </row>
  </sheetData>
  <hyperlinks>
    <hyperlink ref="E8" r:id="rId1" xr:uid="{75DDDD34-F044-4A2A-A6E3-D45A0CADDBEC}"/>
    <hyperlink ref="E7" r:id="rId2" xr:uid="{1576C852-1899-4C5B-B646-3846BB14F8DE}"/>
    <hyperlink ref="E6" r:id="rId3" location=":~:text=The%20India%2010%20Years%20Government,%3A15%20GMT%2B0" xr:uid="{04054F59-EB6C-4CB0-86F6-B052884FF94C}"/>
    <hyperlink ref="E5" r:id="rId4" xr:uid="{60E0F448-74A5-4793-A317-1836F437251B}"/>
    <hyperlink ref="E2" r:id="rId5" location="/Company/Condensed/condensed?section=BalanceSheet" xr:uid="{8E3BBF88-4206-472C-B645-94766C632C6C}"/>
    <hyperlink ref="E3" r:id="rId6" xr:uid="{3621CA1E-D974-45A3-8EC6-04B98F80BCCA}"/>
    <hyperlink ref="E11" r:id="rId7" xr:uid="{E17075A6-B925-4E2F-A689-B1168375E793}"/>
    <hyperlink ref="E9" r:id="rId8" location="google_vignette" display="https://www.moneycontrol.com/stocks/marketinfo/marketcap/bse/pharmaceuticals-drugs.html - google_vignette" xr:uid="{D523EA3B-4458-4E43-B352-63936669C99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6656-C47A-4E39-907F-38BA17EFCE68}">
  <dimension ref="A1:Z46"/>
  <sheetViews>
    <sheetView topLeftCell="A18" zoomScale="92" zoomScaleNormal="92" workbookViewId="0">
      <selection activeCell="A7" sqref="A7:K30"/>
    </sheetView>
  </sheetViews>
  <sheetFormatPr defaultRowHeight="15.6" x14ac:dyDescent="0.3"/>
  <cols>
    <col min="1" max="1" width="34.5546875" style="14" bestFit="1" customWidth="1"/>
    <col min="2" max="2" width="15" style="14" customWidth="1"/>
    <col min="3" max="3" width="14.6640625" style="14" customWidth="1"/>
    <col min="4" max="4" width="13.88671875" style="14" customWidth="1"/>
    <col min="5" max="5" width="13.44140625" style="14" customWidth="1"/>
    <col min="6" max="6" width="16.109375" style="14" customWidth="1"/>
    <col min="7" max="7" width="13.5546875" style="14" customWidth="1"/>
    <col min="8" max="8" width="13.44140625" style="14" customWidth="1"/>
    <col min="9" max="10" width="12.88671875" style="14" customWidth="1"/>
    <col min="11" max="11" width="12.21875" style="14" bestFit="1" customWidth="1"/>
    <col min="12" max="13" width="8.88671875" style="14"/>
    <col min="14" max="14" width="9.109375" style="14" bestFit="1" customWidth="1"/>
    <col min="15" max="15" width="0" style="14" hidden="1" customWidth="1"/>
    <col min="16" max="16384" width="8.88671875" style="14"/>
  </cols>
  <sheetData>
    <row r="1" spans="1:26" ht="16.2" thickBot="1" x14ac:dyDescent="0.35">
      <c r="B1" s="21"/>
      <c r="C1" s="21"/>
      <c r="D1" s="21"/>
      <c r="E1" s="21"/>
      <c r="F1" s="21"/>
      <c r="G1" s="21"/>
      <c r="I1" s="81" t="s">
        <v>155</v>
      </c>
      <c r="J1" s="82"/>
      <c r="K1" s="82" t="s">
        <v>185</v>
      </c>
      <c r="L1" s="21"/>
    </row>
    <row r="2" spans="1:26" ht="16.2" thickBot="1" x14ac:dyDescent="0.35">
      <c r="A2" s="67" t="s">
        <v>158</v>
      </c>
      <c r="B2" s="67" t="s">
        <v>161</v>
      </c>
      <c r="C2" s="21"/>
      <c r="D2" s="21"/>
      <c r="E2" s="21"/>
      <c r="F2" s="21"/>
      <c r="G2" s="21"/>
      <c r="I2" s="81" t="s">
        <v>161</v>
      </c>
      <c r="J2" s="81" t="s">
        <v>156</v>
      </c>
      <c r="K2" s="66">
        <f>K3+0.02</f>
        <v>0.11251433697340342</v>
      </c>
      <c r="L2" s="21"/>
    </row>
    <row r="3" spans="1:26" ht="16.2" thickBot="1" x14ac:dyDescent="0.35">
      <c r="A3" s="21"/>
      <c r="B3" s="83"/>
      <c r="C3" s="21"/>
      <c r="D3" s="21"/>
      <c r="E3" s="21"/>
      <c r="F3" s="21"/>
      <c r="G3" s="21"/>
      <c r="I3" s="81" t="s">
        <v>162</v>
      </c>
      <c r="J3" s="81" t="s">
        <v>157</v>
      </c>
      <c r="K3" s="66">
        <f>AVERAGE(C9:F9)</f>
        <v>9.2514336973403416E-2</v>
      </c>
      <c r="L3" s="21"/>
    </row>
    <row r="4" spans="1:26" ht="16.2" thickBot="1" x14ac:dyDescent="0.35">
      <c r="B4" s="84"/>
      <c r="C4" s="21"/>
      <c r="D4" s="21"/>
      <c r="E4" s="21"/>
      <c r="F4" s="21"/>
      <c r="G4" s="21"/>
      <c r="I4" s="81" t="s">
        <v>163</v>
      </c>
      <c r="J4" s="81" t="s">
        <v>159</v>
      </c>
      <c r="K4" s="66">
        <f>K3-0.02</f>
        <v>7.2514336973403412E-2</v>
      </c>
      <c r="L4" s="21"/>
    </row>
    <row r="5" spans="1:26" x14ac:dyDescent="0.3">
      <c r="A5" s="29" t="s">
        <v>186</v>
      </c>
      <c r="B5" s="21"/>
      <c r="C5" s="85"/>
      <c r="D5" s="21"/>
      <c r="E5" s="21"/>
      <c r="F5" s="21"/>
      <c r="G5" s="21"/>
      <c r="H5" s="21"/>
      <c r="I5" s="21"/>
      <c r="J5" s="21"/>
      <c r="K5" s="21"/>
      <c r="L5" s="21"/>
    </row>
    <row r="6" spans="1:26" x14ac:dyDescent="0.3">
      <c r="A6" s="21"/>
      <c r="B6" s="21"/>
      <c r="C6" s="85"/>
      <c r="D6" s="21"/>
      <c r="E6" s="21"/>
      <c r="F6" s="21"/>
      <c r="G6" s="21"/>
      <c r="H6" s="21"/>
      <c r="I6" s="21"/>
      <c r="J6" s="21"/>
      <c r="K6" s="86" t="s">
        <v>187</v>
      </c>
      <c r="L6" s="21"/>
    </row>
    <row r="7" spans="1:26" ht="31.8" thickBot="1" x14ac:dyDescent="0.35">
      <c r="A7" s="54" t="s">
        <v>184</v>
      </c>
      <c r="B7" s="55" t="s">
        <v>211</v>
      </c>
      <c r="C7" s="55" t="s">
        <v>212</v>
      </c>
      <c r="D7" s="55" t="s">
        <v>522</v>
      </c>
      <c r="E7" s="55" t="s">
        <v>523</v>
      </c>
      <c r="F7" s="55" t="s">
        <v>524</v>
      </c>
      <c r="G7" s="55" t="s">
        <v>213</v>
      </c>
      <c r="H7" s="55" t="s">
        <v>214</v>
      </c>
      <c r="I7" s="55" t="s">
        <v>525</v>
      </c>
      <c r="J7" s="55" t="s">
        <v>526</v>
      </c>
      <c r="K7" s="55" t="s">
        <v>527</v>
      </c>
      <c r="L7" s="87"/>
      <c r="M7" s="57"/>
      <c r="N7" s="57"/>
      <c r="O7" s="57"/>
      <c r="P7" s="57"/>
      <c r="Q7" s="57"/>
      <c r="R7" s="57"/>
      <c r="S7" s="57"/>
      <c r="T7" s="57"/>
      <c r="U7" s="57"/>
      <c r="V7" s="57"/>
      <c r="W7" s="57"/>
      <c r="X7" s="57"/>
      <c r="Y7" s="57"/>
      <c r="Z7" s="57"/>
    </row>
    <row r="8" spans="1:26" ht="16.2" thickBot="1" x14ac:dyDescent="0.35">
      <c r="A8" s="64" t="s">
        <v>194</v>
      </c>
      <c r="B8" s="72">
        <f>'Financial Statements'!B7</f>
        <v>6798.61</v>
      </c>
      <c r="C8" s="72">
        <f>'Financial Statements'!C7</f>
        <v>8879.82</v>
      </c>
      <c r="D8" s="72">
        <f>'Financial Statements'!D7</f>
        <v>7625</v>
      </c>
      <c r="E8" s="72">
        <f>'Financial Statements'!E7</f>
        <v>7665</v>
      </c>
      <c r="F8" s="72">
        <f>'Financial Statements'!F7</f>
        <v>9198</v>
      </c>
      <c r="G8" s="60">
        <f>F8*(1+G9)</f>
        <v>10232.906871481364</v>
      </c>
      <c r="H8" s="60">
        <f>G8*(1+H9)</f>
        <v>11384.255603436673</v>
      </c>
      <c r="I8" s="60">
        <f t="shared" ref="I8:K8" si="0">H8*(1+I9)</f>
        <v>12665.147574593104</v>
      </c>
      <c r="J8" s="60">
        <f t="shared" si="0"/>
        <v>14090.158256618755</v>
      </c>
      <c r="K8" s="60">
        <f t="shared" si="0"/>
        <v>15675.503070712541</v>
      </c>
      <c r="L8" s="21"/>
    </row>
    <row r="9" spans="1:26" ht="16.2" thickBot="1" x14ac:dyDescent="0.35">
      <c r="A9" s="64" t="s">
        <v>195</v>
      </c>
      <c r="B9" s="88"/>
      <c r="C9" s="89">
        <f>(C8-B8)/B8</f>
        <v>0.30612286923356397</v>
      </c>
      <c r="D9" s="89">
        <f t="shared" ref="D9:F9" si="1">(D8-C8)/C8</f>
        <v>-0.14131142297929461</v>
      </c>
      <c r="E9" s="89">
        <f t="shared" si="1"/>
        <v>5.2459016393442623E-3</v>
      </c>
      <c r="F9" s="89">
        <f t="shared" si="1"/>
        <v>0.2</v>
      </c>
      <c r="G9" s="66">
        <f>VLOOKUP(B2,I1:K4,3,FALSE)</f>
        <v>0.11251433697340342</v>
      </c>
      <c r="H9" s="66">
        <f t="shared" ref="H9:K9" si="2">VLOOKUP($B$2,$I$2:$K$4,3,0)</f>
        <v>0.11251433697340342</v>
      </c>
      <c r="I9" s="66">
        <f t="shared" si="2"/>
        <v>0.11251433697340342</v>
      </c>
      <c r="J9" s="66">
        <f t="shared" si="2"/>
        <v>0.11251433697340342</v>
      </c>
      <c r="K9" s="66">
        <f t="shared" si="2"/>
        <v>0.11251433697340342</v>
      </c>
      <c r="L9" s="90"/>
      <c r="M9" s="23"/>
    </row>
    <row r="10" spans="1:26" ht="16.2" thickBot="1" x14ac:dyDescent="0.35">
      <c r="A10" s="58"/>
      <c r="B10" s="75"/>
      <c r="C10" s="75"/>
      <c r="D10" s="75"/>
      <c r="E10" s="75"/>
      <c r="F10" s="75"/>
      <c r="G10" s="66"/>
      <c r="H10" s="91"/>
      <c r="I10" s="91"/>
      <c r="J10" s="91"/>
      <c r="K10" s="91"/>
      <c r="L10" s="21"/>
      <c r="N10" s="23"/>
    </row>
    <row r="11" spans="1:26" ht="16.2" thickBot="1" x14ac:dyDescent="0.35">
      <c r="A11" s="64" t="s">
        <v>196</v>
      </c>
      <c r="B11" s="72">
        <f>'Financial Statements'!B8</f>
        <v>62.53</v>
      </c>
      <c r="C11" s="72">
        <f>'Financial Statements'!C8</f>
        <v>111.26</v>
      </c>
      <c r="D11" s="72">
        <f>'Financial Statements'!D8</f>
        <v>349</v>
      </c>
      <c r="E11" s="72">
        <f>'Financial Statements'!E8</f>
        <v>337</v>
      </c>
      <c r="F11" s="72">
        <f>'Financial Statements'!F8</f>
        <v>352</v>
      </c>
      <c r="G11" s="60">
        <f>G8*G12</f>
        <v>306.44028163106952</v>
      </c>
      <c r="H11" s="60">
        <f>H8*H12</f>
        <v>388.16178206882768</v>
      </c>
      <c r="I11" s="60">
        <f>I8*I12</f>
        <v>486.4649795936856</v>
      </c>
      <c r="J11" s="60">
        <f>J8*J12</f>
        <v>520.45642248184549</v>
      </c>
      <c r="K11" s="60">
        <f>K8*K12</f>
        <v>556.98019503653757</v>
      </c>
      <c r="L11" s="21"/>
    </row>
    <row r="12" spans="1:26" ht="16.2" thickBot="1" x14ac:dyDescent="0.35">
      <c r="A12" s="64" t="s">
        <v>197</v>
      </c>
      <c r="B12" s="89">
        <f>B11/B8</f>
        <v>9.1974683060213787E-3</v>
      </c>
      <c r="C12" s="89">
        <f>C11/C8</f>
        <v>1.2529533256304745E-2</v>
      </c>
      <c r="D12" s="89">
        <f>D11/D8</f>
        <v>4.577049180327869E-2</v>
      </c>
      <c r="E12" s="89">
        <f>E11/E8</f>
        <v>4.3966079582517942E-2</v>
      </c>
      <c r="F12" s="89">
        <f>F11/F8</f>
        <v>3.8269188954120459E-2</v>
      </c>
      <c r="G12" s="66">
        <f>AVERAGE(B12:F12)</f>
        <v>2.9946552380448643E-2</v>
      </c>
      <c r="H12" s="66">
        <f>AVERAGE(C12:G12)</f>
        <v>3.4096369195334091E-2</v>
      </c>
      <c r="I12" s="66">
        <f t="shared" ref="I12:K12" si="3">AVERAGE(D12:H12)</f>
        <v>3.8409736383139964E-2</v>
      </c>
      <c r="J12" s="66">
        <f t="shared" si="3"/>
        <v>3.6937585299112216E-2</v>
      </c>
      <c r="K12" s="66">
        <f t="shared" si="3"/>
        <v>3.553188644243107E-2</v>
      </c>
      <c r="L12" s="21"/>
      <c r="M12" s="23"/>
    </row>
    <row r="13" spans="1:26" ht="16.2" thickBot="1" x14ac:dyDescent="0.35">
      <c r="A13" s="58"/>
      <c r="B13" s="78"/>
      <c r="C13" s="78"/>
      <c r="D13" s="78"/>
      <c r="E13" s="78"/>
      <c r="F13" s="78"/>
      <c r="G13" s="91"/>
      <c r="H13" s="91"/>
      <c r="I13" s="91"/>
      <c r="J13" s="91"/>
      <c r="K13" s="91"/>
      <c r="L13" s="21"/>
    </row>
    <row r="14" spans="1:26" ht="16.2" thickBot="1" x14ac:dyDescent="0.35">
      <c r="A14" s="64" t="s">
        <v>198</v>
      </c>
      <c r="B14" s="72">
        <f>'Financial Statements'!B10</f>
        <v>521.44000000000005</v>
      </c>
      <c r="C14" s="72">
        <f>'Financial Statements'!C10</f>
        <v>645.42999999999995</v>
      </c>
      <c r="D14" s="72">
        <f>'Financial Statements'!D10</f>
        <v>781</v>
      </c>
      <c r="E14" s="72">
        <f>'Financial Statements'!E10</f>
        <v>776</v>
      </c>
      <c r="F14" s="72">
        <f>'Financial Statements'!F10</f>
        <v>741</v>
      </c>
      <c r="G14" s="60">
        <f>G8*G15</f>
        <v>887.41750242087528</v>
      </c>
      <c r="H14" s="60">
        <f>H8*H15</f>
        <v>1010.0876355321733</v>
      </c>
      <c r="I14" s="60">
        <f>I8*I15</f>
        <v>1164.3710402498039</v>
      </c>
      <c r="J14" s="60">
        <f>J8*J15</f>
        <v>1265.8150143216019</v>
      </c>
      <c r="K14" s="60">
        <f>K8*K15</f>
        <v>1372.489116960367</v>
      </c>
      <c r="L14" s="21"/>
    </row>
    <row r="15" spans="1:26" ht="16.2" thickBot="1" x14ac:dyDescent="0.35">
      <c r="A15" s="64" t="s">
        <v>197</v>
      </c>
      <c r="B15" s="89">
        <f>B14/B8</f>
        <v>7.6698030921026519E-2</v>
      </c>
      <c r="C15" s="89">
        <f>C14/C8</f>
        <v>7.2685031903799852E-2</v>
      </c>
      <c r="D15" s="89">
        <f>D14/D8</f>
        <v>0.10242622950819671</v>
      </c>
      <c r="E15" s="89">
        <f>E14/E8</f>
        <v>0.10123939986953685</v>
      </c>
      <c r="F15" s="89">
        <f>F14/F8</f>
        <v>8.0560991519895625E-2</v>
      </c>
      <c r="G15" s="66">
        <f>AVERAGE(B15:F15)</f>
        <v>8.6721936744491107E-2</v>
      </c>
      <c r="H15" s="66">
        <f>AVERAGE(C15:G15)</f>
        <v>8.872671790918403E-2</v>
      </c>
      <c r="I15" s="66">
        <f t="shared" ref="I15:K15" si="4">AVERAGE(D15:H15)</f>
        <v>9.1935055110260872E-2</v>
      </c>
      <c r="J15" s="66">
        <f t="shared" si="4"/>
        <v>8.98368202306737E-2</v>
      </c>
      <c r="K15" s="66">
        <f t="shared" si="4"/>
        <v>8.7556304302901053E-2</v>
      </c>
      <c r="L15" s="21"/>
    </row>
    <row r="16" spans="1:26" ht="16.2" thickBot="1" x14ac:dyDescent="0.35">
      <c r="A16" s="64"/>
      <c r="B16" s="77"/>
      <c r="C16" s="77"/>
      <c r="D16" s="77"/>
      <c r="E16" s="77"/>
      <c r="F16" s="77"/>
      <c r="G16" s="70"/>
      <c r="H16" s="70"/>
      <c r="I16" s="70"/>
      <c r="J16" s="70"/>
      <c r="K16" s="70"/>
      <c r="L16" s="21"/>
    </row>
    <row r="17" spans="1:14" ht="16.2" thickBot="1" x14ac:dyDescent="0.35">
      <c r="A17" s="64" t="s">
        <v>199</v>
      </c>
      <c r="B17" s="72">
        <f>'Financial Statements'!B12</f>
        <v>808.68</v>
      </c>
      <c r="C17" s="72">
        <f>'Financial Statements'!C12</f>
        <v>926.55</v>
      </c>
      <c r="D17" s="72">
        <f>'Financial Statements'!D12</f>
        <v>953</v>
      </c>
      <c r="E17" s="72">
        <f>'Financial Statements'!E12</f>
        <v>1067</v>
      </c>
      <c r="F17" s="72">
        <f>'Financial Statements'!F12</f>
        <v>1210</v>
      </c>
      <c r="G17" s="60">
        <f>G8*G18</f>
        <v>1266.8938221020464</v>
      </c>
      <c r="H17" s="60">
        <f>H8*H18</f>
        <v>1420.4985172673996</v>
      </c>
      <c r="I17" s="60">
        <f>I8*I18</f>
        <v>1632.0852215046818</v>
      </c>
      <c r="J17" s="60">
        <f>J8*J18</f>
        <v>1826.6540905283628</v>
      </c>
      <c r="K17" s="60">
        <f>K8*K18</f>
        <v>2002.1955433133944</v>
      </c>
      <c r="L17" s="21"/>
    </row>
    <row r="18" spans="1:14" ht="16.2" thickBot="1" x14ac:dyDescent="0.35">
      <c r="A18" s="64" t="s">
        <v>197</v>
      </c>
      <c r="B18" s="89">
        <f>B17/B8</f>
        <v>0.11894784375041369</v>
      </c>
      <c r="C18" s="89">
        <f>C17/C8</f>
        <v>0.10434333128374224</v>
      </c>
      <c r="D18" s="89">
        <f>D17/D8</f>
        <v>0.12498360655737704</v>
      </c>
      <c r="E18" s="89">
        <f>E17/E8</f>
        <v>0.13920417482061317</v>
      </c>
      <c r="F18" s="89">
        <f>F17/F8</f>
        <v>0.13155033702978908</v>
      </c>
      <c r="G18" s="66">
        <f>AVERAGE(B18:F18)</f>
        <v>0.12380585868838705</v>
      </c>
      <c r="H18" s="66">
        <f t="shared" ref="H18:K18" si="5">AVERAGE(C18:G18)</f>
        <v>0.12477746167598172</v>
      </c>
      <c r="I18" s="66">
        <f t="shared" si="5"/>
        <v>0.1288642877544296</v>
      </c>
      <c r="J18" s="66">
        <f t="shared" si="5"/>
        <v>0.12964042399384013</v>
      </c>
      <c r="K18" s="66">
        <f t="shared" si="5"/>
        <v>0.12772767382848552</v>
      </c>
      <c r="L18" s="21"/>
    </row>
    <row r="19" spans="1:14" ht="16.2" thickBot="1" x14ac:dyDescent="0.35">
      <c r="A19" s="64"/>
      <c r="B19" s="77"/>
      <c r="C19" s="77"/>
      <c r="D19" s="77"/>
      <c r="E19" s="77"/>
      <c r="F19" s="77"/>
      <c r="G19" s="81"/>
      <c r="H19" s="70"/>
      <c r="I19" s="70"/>
      <c r="J19" s="70"/>
      <c r="K19" s="70"/>
      <c r="L19" s="21"/>
    </row>
    <row r="20" spans="1:14" ht="16.2" thickBot="1" x14ac:dyDescent="0.35">
      <c r="A20" s="64" t="s">
        <v>200</v>
      </c>
      <c r="B20" s="72">
        <f>'Financial Statements'!B17</f>
        <v>1.81</v>
      </c>
      <c r="C20" s="72">
        <f>'Financial Statements'!C17</f>
        <v>1.73</v>
      </c>
      <c r="D20" s="72">
        <f>'Financial Statements'!D17</f>
        <v>2</v>
      </c>
      <c r="E20" s="72">
        <f>'Financial Statements'!E17</f>
        <v>4</v>
      </c>
      <c r="F20" s="72">
        <f>'Financial Statements'!F17</f>
        <v>2</v>
      </c>
      <c r="G20" s="92">
        <f>G8*G21</f>
        <v>2.9934136078379168</v>
      </c>
      <c r="H20" s="92">
        <f>H8*H21</f>
        <v>3.390090563002039</v>
      </c>
      <c r="I20" s="92">
        <f>I8*I21</f>
        <v>4.0323348690148837</v>
      </c>
      <c r="J20" s="92">
        <f>J8*J21</f>
        <v>4.6440805809380299</v>
      </c>
      <c r="K20" s="92">
        <f>K8*K21</f>
        <v>4.563867140485832</v>
      </c>
      <c r="L20" s="21"/>
    </row>
    <row r="21" spans="1:14" ht="16.2" thickBot="1" x14ac:dyDescent="0.35">
      <c r="A21" s="64" t="s">
        <v>197</v>
      </c>
      <c r="B21" s="89">
        <f>B20/B8</f>
        <v>2.6623089131454816E-4</v>
      </c>
      <c r="C21" s="89">
        <f>C20/C8</f>
        <v>1.9482376895027151E-4</v>
      </c>
      <c r="D21" s="89">
        <f>D20/D8</f>
        <v>2.6229508196721314E-4</v>
      </c>
      <c r="E21" s="89">
        <f>E20/E8</f>
        <v>5.2185257664709721E-4</v>
      </c>
      <c r="F21" s="89">
        <f>F20/F8</f>
        <v>2.1743857360295715E-4</v>
      </c>
      <c r="G21" s="66">
        <f>AVERAGE(B21:F21)</f>
        <v>2.9252817849641742E-4</v>
      </c>
      <c r="H21" s="66">
        <f t="shared" ref="H21:K21" si="6">AVERAGE(C21:G21)</f>
        <v>2.9778763593279128E-4</v>
      </c>
      <c r="I21" s="66">
        <f t="shared" si="6"/>
        <v>3.1838040932929528E-4</v>
      </c>
      <c r="J21" s="66">
        <f t="shared" si="6"/>
        <v>3.2959747480171167E-4</v>
      </c>
      <c r="K21" s="66">
        <f t="shared" si="6"/>
        <v>2.9114645443263458E-4</v>
      </c>
      <c r="L21" s="21"/>
    </row>
    <row r="22" spans="1:14" ht="16.2" thickBot="1" x14ac:dyDescent="0.35">
      <c r="A22" s="58"/>
      <c r="B22" s="75"/>
      <c r="C22" s="75"/>
      <c r="D22" s="75"/>
      <c r="E22" s="75"/>
      <c r="F22" s="75"/>
      <c r="G22" s="82"/>
      <c r="H22" s="82"/>
      <c r="I22" s="82"/>
      <c r="J22" s="82"/>
      <c r="K22" s="82"/>
      <c r="L22" s="21"/>
    </row>
    <row r="23" spans="1:14" ht="16.2" thickBot="1" x14ac:dyDescent="0.35">
      <c r="A23" s="64" t="s">
        <v>201</v>
      </c>
      <c r="B23" s="78">
        <f>'Financial Statements'!B13</f>
        <v>292.52999999999997</v>
      </c>
      <c r="C23" s="78">
        <f>'Financial Statements'!C13</f>
        <v>340.16</v>
      </c>
      <c r="D23" s="78">
        <f>'Financial Statements'!D13</f>
        <v>402</v>
      </c>
      <c r="E23" s="78">
        <f>'Financial Statements'!E13</f>
        <v>367</v>
      </c>
      <c r="F23" s="78">
        <f>'Financial Statements'!F13</f>
        <v>449</v>
      </c>
      <c r="G23" s="93">
        <f>G8*G24</f>
        <v>472.2511919602656</v>
      </c>
      <c r="H23" s="93">
        <f>H8*H24</f>
        <v>532.49531398175372</v>
      </c>
      <c r="I23" s="93">
        <f>I8*I24</f>
        <v>613.85743404508423</v>
      </c>
      <c r="J23" s="93">
        <f>J8*J24</f>
        <v>670.93991104243071</v>
      </c>
      <c r="K23" s="93">
        <f>K8*K24</f>
        <v>745.6077887367104</v>
      </c>
      <c r="L23" s="21"/>
    </row>
    <row r="24" spans="1:14" ht="16.2" thickBot="1" x14ac:dyDescent="0.35">
      <c r="A24" s="64" t="s">
        <v>197</v>
      </c>
      <c r="B24" s="89">
        <f>B23/B8</f>
        <v>4.3027913058698762E-2</v>
      </c>
      <c r="C24" s="89">
        <f>C23/C8</f>
        <v>3.8307082801227958E-2</v>
      </c>
      <c r="D24" s="89">
        <f>D23/D8</f>
        <v>5.2721311475409836E-2</v>
      </c>
      <c r="E24" s="89">
        <f>E23/E8</f>
        <v>4.7879973907371171E-2</v>
      </c>
      <c r="F24" s="89">
        <f>F23/F8</f>
        <v>4.8814959773863881E-2</v>
      </c>
      <c r="G24" s="66">
        <f>AVERAGE(B24:F24)</f>
        <v>4.6150248203314322E-2</v>
      </c>
      <c r="H24" s="66">
        <f t="shared" ref="H24:K24" si="7">AVERAGE(C24:G24)</f>
        <v>4.6774715232237432E-2</v>
      </c>
      <c r="I24" s="66">
        <f t="shared" si="7"/>
        <v>4.8468241718439331E-2</v>
      </c>
      <c r="J24" s="66">
        <f t="shared" si="7"/>
        <v>4.7617627767045222E-2</v>
      </c>
      <c r="K24" s="66">
        <f t="shared" si="7"/>
        <v>4.7565158538980037E-2</v>
      </c>
      <c r="L24" s="21"/>
    </row>
    <row r="25" spans="1:14" ht="16.2" thickBot="1" x14ac:dyDescent="0.35">
      <c r="A25" s="58"/>
      <c r="B25" s="78"/>
      <c r="C25" s="78"/>
      <c r="D25" s="78"/>
      <c r="E25" s="78"/>
      <c r="F25" s="78"/>
      <c r="G25" s="70"/>
      <c r="H25" s="70"/>
      <c r="I25" s="70"/>
      <c r="J25" s="70"/>
      <c r="K25" s="70"/>
      <c r="L25" s="21"/>
    </row>
    <row r="26" spans="1:14" ht="16.2" thickBot="1" x14ac:dyDescent="0.35">
      <c r="A26" s="64" t="s">
        <v>202</v>
      </c>
      <c r="B26" s="72">
        <f>'Financial Statements'!B20</f>
        <v>609.04999999999995</v>
      </c>
      <c r="C26" s="72">
        <f>'Financial Statements'!C20</f>
        <v>637.20000000000005</v>
      </c>
      <c r="D26" s="72">
        <f>'Financial Statements'!D20</f>
        <v>438</v>
      </c>
      <c r="E26" s="72">
        <f>'Financial Statements'!E20</f>
        <v>511</v>
      </c>
      <c r="F26" s="72">
        <f>'Financial Statements'!F20</f>
        <v>793</v>
      </c>
      <c r="G26" s="60">
        <f>G27*'Financial Statements'!G18</f>
        <v>1878.3113019542545</v>
      </c>
      <c r="H26" s="60">
        <f>H27*'Financial Statements'!H18</f>
        <v>2092.0845385407883</v>
      </c>
      <c r="I26" s="60">
        <f>I27*'Financial Statements'!I18</f>
        <v>2313.4615662546894</v>
      </c>
      <c r="J26" s="60">
        <f>J27*'Financial Statements'!J18</f>
        <v>2578.8725332819304</v>
      </c>
      <c r="K26" s="60">
        <f>K27*'Financial Statements'!K18</f>
        <v>2881.5532063992841</v>
      </c>
      <c r="L26" s="21"/>
    </row>
    <row r="27" spans="1:14" ht="16.2" thickBot="1" x14ac:dyDescent="0.35">
      <c r="A27" s="64" t="s">
        <v>203</v>
      </c>
      <c r="B27" s="88">
        <f>B26/'Financial Statements'!B18</f>
        <v>0.12224936421498869</v>
      </c>
      <c r="C27" s="88">
        <f>C26/'Financial Statements'!C18</f>
        <v>9.4167580460670419E-2</v>
      </c>
      <c r="D27" s="88">
        <f>D26/'Financial Statements'!D18</f>
        <v>7.972333454677831E-2</v>
      </c>
      <c r="E27" s="88">
        <f>E26/'Financial Statements'!E18</f>
        <v>9.4419807834441982E-2</v>
      </c>
      <c r="F27" s="88">
        <f>F26/'Financial Statements'!F18</f>
        <v>0.11753371868978806</v>
      </c>
      <c r="G27" s="66">
        <v>0.25168000000000001</v>
      </c>
      <c r="H27" s="66">
        <v>0.25168000000000001</v>
      </c>
      <c r="I27" s="66">
        <v>0.25168000000000001</v>
      </c>
      <c r="J27" s="66">
        <v>0.25168000000000001</v>
      </c>
      <c r="K27" s="66">
        <v>0.25168000000000001</v>
      </c>
      <c r="L27" s="90"/>
      <c r="M27" s="94"/>
      <c r="N27" s="95"/>
    </row>
    <row r="28" spans="1:14" ht="16.2" thickBot="1" x14ac:dyDescent="0.35">
      <c r="A28" s="64"/>
      <c r="B28" s="77"/>
      <c r="C28" s="77"/>
      <c r="D28" s="77"/>
      <c r="E28" s="77"/>
      <c r="F28" s="77"/>
      <c r="G28" s="96"/>
      <c r="H28" s="96"/>
      <c r="I28" s="96"/>
      <c r="J28" s="96"/>
      <c r="K28" s="96"/>
      <c r="L28" s="21"/>
    </row>
    <row r="29" spans="1:14" ht="16.2" thickBot="1" x14ac:dyDescent="0.35">
      <c r="A29" s="64" t="s">
        <v>421</v>
      </c>
      <c r="B29" s="72">
        <f>'Financial Statements'!B24</f>
        <v>0</v>
      </c>
      <c r="C29" s="72">
        <f>'Financial Statements'!C24</f>
        <v>0</v>
      </c>
      <c r="D29" s="72">
        <f>'Financial Statements'!D24</f>
        <v>0</v>
      </c>
      <c r="E29" s="72">
        <f>'Financial Statements'!E24</f>
        <v>0</v>
      </c>
      <c r="F29" s="72">
        <f>'Financial Statements'!F24</f>
        <v>0</v>
      </c>
      <c r="G29" s="60">
        <f>G30*'Financial Statements'!G22</f>
        <v>0</v>
      </c>
      <c r="H29" s="60">
        <f>H30*'Financial Statements'!H22</f>
        <v>0</v>
      </c>
      <c r="I29" s="60">
        <f>I30*'Financial Statements'!I22</f>
        <v>0</v>
      </c>
      <c r="J29" s="60">
        <f>J30*'Financial Statements'!J22</f>
        <v>0</v>
      </c>
      <c r="K29" s="60">
        <f>K30*'Financial Statements'!K22</f>
        <v>0</v>
      </c>
      <c r="L29" s="21"/>
    </row>
    <row r="30" spans="1:14" ht="16.2" thickBot="1" x14ac:dyDescent="0.35">
      <c r="A30" s="64" t="s">
        <v>423</v>
      </c>
      <c r="B30" s="89">
        <f>B29/'Financial Statements'!B22</f>
        <v>0</v>
      </c>
      <c r="C30" s="89">
        <f>C29/'Financial Statements'!C22</f>
        <v>0</v>
      </c>
      <c r="D30" s="89">
        <f>D29/'Financial Statements'!D22</f>
        <v>0</v>
      </c>
      <c r="E30" s="89">
        <f>E29/'Financial Statements'!E22</f>
        <v>0</v>
      </c>
      <c r="F30" s="89">
        <f>F29/'Financial Statements'!F22</f>
        <v>0</v>
      </c>
      <c r="G30" s="66">
        <f>AVERAGE(B30:F30)</f>
        <v>0</v>
      </c>
      <c r="H30" s="66">
        <f t="shared" ref="H30:K30" si="8">AVERAGE(C30:G30)</f>
        <v>0</v>
      </c>
      <c r="I30" s="66">
        <f t="shared" si="8"/>
        <v>0</v>
      </c>
      <c r="J30" s="66">
        <f t="shared" si="8"/>
        <v>0</v>
      </c>
      <c r="K30" s="66">
        <f t="shared" si="8"/>
        <v>0</v>
      </c>
      <c r="L30" s="21"/>
    </row>
    <row r="31" spans="1:14" x14ac:dyDescent="0.3">
      <c r="A31" s="21"/>
      <c r="B31" s="26"/>
      <c r="C31" s="26"/>
      <c r="D31" s="26"/>
      <c r="E31" s="26"/>
      <c r="F31" s="26"/>
      <c r="G31" s="85"/>
      <c r="H31" s="85"/>
      <c r="I31" s="85"/>
      <c r="J31" s="85"/>
      <c r="K31" s="85"/>
      <c r="L31" s="21"/>
    </row>
    <row r="32" spans="1:14" x14ac:dyDescent="0.3">
      <c r="A32" s="29" t="s">
        <v>204</v>
      </c>
      <c r="B32" s="24"/>
      <c r="C32" s="24"/>
      <c r="D32" s="24"/>
      <c r="E32" s="24"/>
      <c r="F32" s="24"/>
      <c r="G32" s="24"/>
      <c r="H32" s="24"/>
      <c r="I32" s="24"/>
      <c r="J32" s="24"/>
      <c r="K32" s="24"/>
      <c r="L32" s="21"/>
    </row>
    <row r="33" spans="1:13" ht="31.8" thickBot="1" x14ac:dyDescent="0.35">
      <c r="A33" s="71" t="s">
        <v>184</v>
      </c>
      <c r="B33" s="55" t="s">
        <v>188</v>
      </c>
      <c r="C33" s="55" t="s">
        <v>189</v>
      </c>
      <c r="D33" s="55" t="s">
        <v>190</v>
      </c>
      <c r="E33" s="55" t="s">
        <v>211</v>
      </c>
      <c r="F33" s="55" t="s">
        <v>212</v>
      </c>
      <c r="G33" s="55" t="s">
        <v>191</v>
      </c>
      <c r="H33" s="55" t="s">
        <v>192</v>
      </c>
      <c r="I33" s="55" t="s">
        <v>193</v>
      </c>
      <c r="J33" s="55" t="s">
        <v>213</v>
      </c>
      <c r="K33" s="55" t="s">
        <v>214</v>
      </c>
      <c r="L33" s="21"/>
      <c r="M33" s="28"/>
    </row>
    <row r="34" spans="1:13" ht="16.2" thickBot="1" x14ac:dyDescent="0.35">
      <c r="A34" s="64" t="s">
        <v>205</v>
      </c>
      <c r="B34" s="72">
        <f>'Financial Statements'!B56</f>
        <v>1745.56</v>
      </c>
      <c r="C34" s="72">
        <f>'Financial Statements'!C56</f>
        <v>2569.9</v>
      </c>
      <c r="D34" s="72">
        <f>'Financial Statements'!D56</f>
        <v>1964</v>
      </c>
      <c r="E34" s="72">
        <f>'Financial Statements'!E56</f>
        <v>2273</v>
      </c>
      <c r="F34" s="72">
        <f>'Financial Statements'!F56</f>
        <v>2855</v>
      </c>
      <c r="G34" s="60">
        <f>(G35/365*G8)</f>
        <v>2887.0541476613353</v>
      </c>
      <c r="H34" s="60">
        <f>(H35/365*H8)</f>
        <v>3269.679777892758</v>
      </c>
      <c r="I34" s="60">
        <f>(I35/365*I8)</f>
        <v>3631.9971678518709</v>
      </c>
      <c r="J34" s="60">
        <f>(J35/365*J8)</f>
        <v>4122.9276675017018</v>
      </c>
      <c r="K34" s="60">
        <f>(K35/365*K8)</f>
        <v>4574.488083946886</v>
      </c>
      <c r="L34" s="21"/>
    </row>
    <row r="35" spans="1:13" ht="16.2" thickBot="1" x14ac:dyDescent="0.35">
      <c r="A35" s="64" t="s">
        <v>206</v>
      </c>
      <c r="B35" s="77">
        <f>B34*365/B8</f>
        <v>93.714656378289106</v>
      </c>
      <c r="C35" s="77">
        <f>C34*365/C8</f>
        <v>105.63429213655232</v>
      </c>
      <c r="D35" s="77">
        <f>D34*365/D8</f>
        <v>94.014426229508203</v>
      </c>
      <c r="E35" s="77">
        <f>E34*365/E8</f>
        <v>108.23809523809524</v>
      </c>
      <c r="F35" s="77">
        <f>F34*365/F8</f>
        <v>113.2936507936508</v>
      </c>
      <c r="G35" s="60">
        <f>(AVERAGE(B35:F35))</f>
        <v>102.97902415521915</v>
      </c>
      <c r="H35" s="60">
        <f t="shared" ref="H35:K35" si="9">(AVERAGE(C35:G35))</f>
        <v>104.83189771060513</v>
      </c>
      <c r="I35" s="60">
        <f t="shared" si="9"/>
        <v>104.67141882541571</v>
      </c>
      <c r="J35" s="60">
        <f t="shared" si="9"/>
        <v>106.8028173445972</v>
      </c>
      <c r="K35" s="60">
        <f t="shared" si="9"/>
        <v>106.51576176589761</v>
      </c>
      <c r="L35" s="21"/>
    </row>
    <row r="36" spans="1:13" ht="16.2" thickBot="1" x14ac:dyDescent="0.35">
      <c r="A36" s="64"/>
      <c r="B36" s="78"/>
      <c r="C36" s="78"/>
      <c r="D36" s="78"/>
      <c r="E36" s="78"/>
      <c r="F36" s="78"/>
      <c r="G36" s="60"/>
      <c r="H36" s="60"/>
      <c r="I36" s="60"/>
      <c r="J36" s="60"/>
      <c r="K36" s="60"/>
      <c r="L36" s="21"/>
    </row>
    <row r="37" spans="1:13" ht="16.2" thickBot="1" x14ac:dyDescent="0.35">
      <c r="A37" s="64" t="s">
        <v>164</v>
      </c>
      <c r="B37" s="72">
        <f>'Financial Statements'!B55</f>
        <v>2042.7</v>
      </c>
      <c r="C37" s="72">
        <f>'Financial Statements'!C55</f>
        <v>2644.05</v>
      </c>
      <c r="D37" s="72">
        <f>'Financial Statements'!D55</f>
        <v>2781</v>
      </c>
      <c r="E37" s="72">
        <f>'Financial Statements'!E55</f>
        <v>2985</v>
      </c>
      <c r="F37" s="72">
        <f>'Financial Statements'!F55</f>
        <v>3033</v>
      </c>
      <c r="G37" s="60">
        <f>(G38/365*G14)</f>
        <v>3463.5157242648038</v>
      </c>
      <c r="H37" s="60">
        <f>(H38/365*H14)</f>
        <v>3939.3565981947859</v>
      </c>
      <c r="I37" s="60">
        <f>(I38/365*I14)</f>
        <v>4495.2911761176892</v>
      </c>
      <c r="J37" s="60">
        <f>(J38/365*J14)</f>
        <v>4962.8557723094264</v>
      </c>
      <c r="K37" s="60">
        <f>(K38/365*K14)</f>
        <v>5401.4120571729563</v>
      </c>
      <c r="L37" s="21"/>
    </row>
    <row r="38" spans="1:13" ht="16.2" thickBot="1" x14ac:dyDescent="0.35">
      <c r="A38" s="64" t="s">
        <v>207</v>
      </c>
      <c r="B38" s="77">
        <f>B37*365/B14</f>
        <v>1429.8586606320955</v>
      </c>
      <c r="C38" s="77">
        <f>C37*365/C14</f>
        <v>1495.248516492881</v>
      </c>
      <c r="D38" s="77">
        <f>D37*365/D14</f>
        <v>1299.6991037131882</v>
      </c>
      <c r="E38" s="77">
        <f>E37*365/E14</f>
        <v>1404.0270618556701</v>
      </c>
      <c r="F38" s="77">
        <f>F37*365/F14</f>
        <v>1493.9878542510121</v>
      </c>
      <c r="G38" s="60">
        <f>(AVERAGE(B38:F38))</f>
        <v>1424.5642393889696</v>
      </c>
      <c r="H38" s="60">
        <f t="shared" ref="H38:K38" si="10">(AVERAGE(C38:G38))</f>
        <v>1423.5053551403441</v>
      </c>
      <c r="I38" s="60">
        <f t="shared" si="10"/>
        <v>1409.1567228698368</v>
      </c>
      <c r="J38" s="60">
        <f t="shared" si="10"/>
        <v>1431.0482467011666</v>
      </c>
      <c r="K38" s="60">
        <f t="shared" si="10"/>
        <v>1436.4524836702658</v>
      </c>
      <c r="L38" s="21"/>
    </row>
    <row r="39" spans="1:13" ht="16.2" thickBot="1" x14ac:dyDescent="0.35">
      <c r="A39" s="64"/>
      <c r="B39" s="78"/>
      <c r="C39" s="78"/>
      <c r="D39" s="78"/>
      <c r="E39" s="78"/>
      <c r="F39" s="78"/>
      <c r="G39" s="60"/>
      <c r="H39" s="60"/>
      <c r="I39" s="60"/>
      <c r="J39" s="60"/>
      <c r="K39" s="60"/>
      <c r="L39" s="21"/>
    </row>
    <row r="40" spans="1:13" ht="16.2" thickBot="1" x14ac:dyDescent="0.35">
      <c r="A40" s="64"/>
      <c r="B40" s="78"/>
      <c r="C40" s="78"/>
      <c r="D40" s="78"/>
      <c r="E40" s="78"/>
      <c r="F40" s="78"/>
      <c r="G40" s="60"/>
      <c r="H40" s="60"/>
      <c r="I40" s="60"/>
      <c r="J40" s="60"/>
      <c r="K40" s="60"/>
      <c r="L40" s="21"/>
    </row>
    <row r="41" spans="1:13" ht="16.2" thickBot="1" x14ac:dyDescent="0.35">
      <c r="A41" s="64" t="s">
        <v>209</v>
      </c>
      <c r="B41" s="72">
        <f>'Financial Statements'!B43</f>
        <v>1086.03</v>
      </c>
      <c r="C41" s="72">
        <f>'Financial Statements'!C43</f>
        <v>1164.25</v>
      </c>
      <c r="D41" s="72">
        <f>'Financial Statements'!D43</f>
        <v>1074</v>
      </c>
      <c r="E41" s="72">
        <f>'Financial Statements'!E43</f>
        <v>1210</v>
      </c>
      <c r="F41" s="72">
        <f>'Financial Statements'!F43</f>
        <v>1364</v>
      </c>
      <c r="G41" s="60">
        <f>(G8*G42)</f>
        <v>1510.0921905947671</v>
      </c>
      <c r="H41" s="60">
        <f>(H8*H42)</f>
        <v>1652.2881456900955</v>
      </c>
      <c r="I41" s="60">
        <f>(I8*I42)</f>
        <v>1873.7228091106449</v>
      </c>
      <c r="J41" s="60">
        <f>(J8*J42)</f>
        <v>2104.5254987046283</v>
      </c>
      <c r="K41" s="60">
        <f>(K8*K42)</f>
        <v>2314.6694969067062</v>
      </c>
      <c r="L41" s="21"/>
    </row>
    <row r="42" spans="1:13" ht="16.2" thickBot="1" x14ac:dyDescent="0.35">
      <c r="A42" s="64" t="s">
        <v>208</v>
      </c>
      <c r="B42" s="97">
        <f>B41/B8</f>
        <v>0.15974294745543574</v>
      </c>
      <c r="C42" s="97">
        <f>C41/C8</f>
        <v>0.13111189190771885</v>
      </c>
      <c r="D42" s="97">
        <f>D41/D8</f>
        <v>0.14085245901639346</v>
      </c>
      <c r="E42" s="97">
        <f>E41/E8</f>
        <v>0.15786040443574689</v>
      </c>
      <c r="F42" s="97">
        <f>F41/F8</f>
        <v>0.14829310719721678</v>
      </c>
      <c r="G42" s="70">
        <f>(AVERAGE(B42:F42))</f>
        <v>0.14757216200250234</v>
      </c>
      <c r="H42" s="70">
        <f t="shared" ref="H42:K42" si="11">(AVERAGE(C42:G42))</f>
        <v>0.14513800491191567</v>
      </c>
      <c r="I42" s="70">
        <f t="shared" si="11"/>
        <v>0.14794322751275502</v>
      </c>
      <c r="J42" s="70">
        <f t="shared" si="11"/>
        <v>0.14936138121202733</v>
      </c>
      <c r="K42" s="70">
        <f t="shared" si="11"/>
        <v>0.14766157656728343</v>
      </c>
      <c r="L42" s="21"/>
    </row>
    <row r="43" spans="1:13" ht="16.2" thickBot="1" x14ac:dyDescent="0.35">
      <c r="A43" s="64"/>
      <c r="B43" s="78"/>
      <c r="C43" s="78"/>
      <c r="D43" s="78"/>
      <c r="E43" s="78"/>
      <c r="F43" s="78"/>
      <c r="G43" s="60"/>
      <c r="H43" s="60"/>
      <c r="I43" s="60"/>
      <c r="J43" s="70"/>
      <c r="K43" s="60"/>
      <c r="L43" s="21"/>
    </row>
    <row r="44" spans="1:13" ht="16.2" thickBot="1" x14ac:dyDescent="0.35">
      <c r="A44" s="64" t="s">
        <v>182</v>
      </c>
      <c r="B44" s="72">
        <f>'Financial Statements'!B59</f>
        <v>151.30000000000001</v>
      </c>
      <c r="C44" s="72">
        <f>'Financial Statements'!C59</f>
        <v>215.81</v>
      </c>
      <c r="D44" s="72">
        <f>'Financial Statements'!D59</f>
        <v>199.2</v>
      </c>
      <c r="E44" s="72">
        <f>'Financial Statements'!E59</f>
        <v>318</v>
      </c>
      <c r="F44" s="72">
        <f>'Financial Statements'!F59</f>
        <v>367</v>
      </c>
      <c r="G44" s="60">
        <f>(G8*G45)</f>
        <v>315.31641969630061</v>
      </c>
      <c r="H44" s="60">
        <f>(H8*H45)</f>
        <v>370.28255007458824</v>
      </c>
      <c r="I44" s="60">
        <f>(I8*I45)</f>
        <v>432.77229322266413</v>
      </c>
      <c r="J44" s="60">
        <f>(J8*J45)</f>
        <v>504.13853506625748</v>
      </c>
      <c r="K44" s="60">
        <f>(K8*K45)</f>
        <v>542.96682118209242</v>
      </c>
      <c r="L44" s="21"/>
    </row>
    <row r="45" spans="1:13" ht="16.2" thickBot="1" x14ac:dyDescent="0.35">
      <c r="A45" s="64" t="s">
        <v>208</v>
      </c>
      <c r="B45" s="97">
        <f>B44/B8</f>
        <v>2.2254549091652562E-2</v>
      </c>
      <c r="C45" s="97">
        <f>C44/C8</f>
        <v>2.4303420564831271E-2</v>
      </c>
      <c r="D45" s="97">
        <f>D44/D8</f>
        <v>2.6124590163934425E-2</v>
      </c>
      <c r="E45" s="97">
        <f>E44/E8</f>
        <v>4.1487279843444226E-2</v>
      </c>
      <c r="F45" s="97">
        <f>F44/F8</f>
        <v>3.9899978256142637E-2</v>
      </c>
      <c r="G45" s="70">
        <f>(AVERAGE(B45:F45))</f>
        <v>3.0813963584001024E-2</v>
      </c>
      <c r="H45" s="70">
        <f t="shared" ref="H45:K45" si="12">(AVERAGE(C45:G45))</f>
        <v>3.2525846482470713E-2</v>
      </c>
      <c r="I45" s="70">
        <f t="shared" si="12"/>
        <v>3.4170331665998602E-2</v>
      </c>
      <c r="J45" s="70">
        <f t="shared" si="12"/>
        <v>3.577947996641144E-2</v>
      </c>
      <c r="K45" s="70">
        <f t="shared" si="12"/>
        <v>3.4637919991004885E-2</v>
      </c>
    </row>
    <row r="46" spans="1:13" x14ac:dyDescent="0.3">
      <c r="A46" s="21"/>
      <c r="B46" s="21"/>
      <c r="C46" s="21"/>
      <c r="D46" s="21"/>
      <c r="E46" s="21"/>
      <c r="F46" s="21"/>
      <c r="G46" s="21"/>
      <c r="H46" s="21"/>
      <c r="I46" s="21"/>
      <c r="J46" s="21"/>
      <c r="K46" s="21"/>
    </row>
  </sheetData>
  <dataValidations count="1">
    <dataValidation type="list" allowBlank="1" showInputMessage="1" showErrorMessage="1" errorTitle="Error" error="Choose 1, 2 or 3" promptTitle="Select" prompt="Case 1 ,_x000a_Case 2 or_x000a_Case 3" sqref="B2" xr:uid="{741D6CEA-D0A2-41AB-96DC-31BA6D0F5623}">
      <formula1>$I$2:$I$4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4CFC-DA24-4493-AC1E-02A6C5457901}">
  <dimension ref="A1:Z90"/>
  <sheetViews>
    <sheetView topLeftCell="A59" zoomScale="61" zoomScaleNormal="70" workbookViewId="0">
      <selection activeCell="F52" sqref="F52"/>
    </sheetView>
  </sheetViews>
  <sheetFormatPr defaultRowHeight="15.6" x14ac:dyDescent="0.3"/>
  <cols>
    <col min="1" max="1" width="43.6640625" style="14" customWidth="1"/>
    <col min="2" max="2" width="13.44140625" style="14" customWidth="1"/>
    <col min="3" max="3" width="15.6640625" style="14" customWidth="1"/>
    <col min="4" max="4" width="14.21875" style="14" customWidth="1"/>
    <col min="5" max="5" width="16.33203125" style="14" customWidth="1"/>
    <col min="6" max="6" width="15.33203125" style="14" customWidth="1"/>
    <col min="7" max="7" width="13.33203125" style="14" customWidth="1"/>
    <col min="8" max="8" width="14.21875" style="14" customWidth="1"/>
    <col min="9" max="9" width="14.6640625" style="14" customWidth="1"/>
    <col min="10" max="10" width="14.21875" style="14" customWidth="1"/>
    <col min="11" max="11" width="18.44140625" style="14" customWidth="1"/>
    <col min="12" max="12" width="36.88671875" style="13" customWidth="1"/>
    <col min="13" max="16384" width="8.88671875" style="14"/>
  </cols>
  <sheetData>
    <row r="1" spans="1:26" x14ac:dyDescent="0.3">
      <c r="A1" s="30" t="s">
        <v>542</v>
      </c>
      <c r="B1" s="41" t="s">
        <v>273</v>
      </c>
      <c r="C1" s="41"/>
      <c r="D1" s="41"/>
      <c r="E1" s="41"/>
      <c r="F1" s="41"/>
      <c r="G1" s="42" t="s">
        <v>274</v>
      </c>
      <c r="H1" s="42"/>
      <c r="I1" s="42"/>
      <c r="J1" s="42"/>
      <c r="K1" s="43"/>
      <c r="N1" s="15"/>
    </row>
    <row r="2" spans="1:26" x14ac:dyDescent="0.3">
      <c r="A2" s="31" t="s">
        <v>275</v>
      </c>
      <c r="B2" s="16">
        <v>365</v>
      </c>
      <c r="C2" s="16">
        <v>365</v>
      </c>
      <c r="D2" s="16">
        <v>365</v>
      </c>
      <c r="E2" s="16">
        <v>365</v>
      </c>
      <c r="F2" s="17">
        <v>365</v>
      </c>
      <c r="G2" s="32">
        <v>365</v>
      </c>
      <c r="H2" s="32">
        <v>365</v>
      </c>
      <c r="I2" s="32">
        <v>365</v>
      </c>
      <c r="J2" s="32">
        <v>365</v>
      </c>
      <c r="K2" s="33">
        <v>365</v>
      </c>
    </row>
    <row r="3" spans="1:26" x14ac:dyDescent="0.3">
      <c r="A3" s="44"/>
      <c r="B3" s="18"/>
      <c r="C3" s="18"/>
      <c r="D3" s="18"/>
      <c r="E3" s="18"/>
      <c r="F3" s="19"/>
      <c r="G3" s="34"/>
      <c r="H3" s="34"/>
      <c r="I3" s="34"/>
      <c r="J3" s="34"/>
      <c r="K3" s="35"/>
    </row>
    <row r="4" spans="1:26" x14ac:dyDescent="0.3">
      <c r="A4" s="46" t="s">
        <v>276</v>
      </c>
      <c r="B4" s="21"/>
      <c r="C4" s="21"/>
      <c r="D4" s="21"/>
      <c r="E4" s="21"/>
      <c r="F4" s="21"/>
      <c r="G4" s="21"/>
      <c r="H4" s="21"/>
      <c r="I4" s="21"/>
      <c r="J4" s="21"/>
      <c r="K4" s="21"/>
    </row>
    <row r="5" spans="1:26" x14ac:dyDescent="0.3">
      <c r="A5" s="20"/>
      <c r="B5" s="21"/>
      <c r="C5" s="21"/>
      <c r="D5" s="21"/>
      <c r="E5" s="21"/>
      <c r="F5" s="21"/>
      <c r="G5" s="21"/>
      <c r="H5" s="21"/>
      <c r="I5" s="21"/>
      <c r="J5" s="21"/>
      <c r="K5" s="36" t="s">
        <v>187</v>
      </c>
    </row>
    <row r="6" spans="1:26" ht="34.799999999999997" customHeight="1" thickBot="1" x14ac:dyDescent="0.35">
      <c r="A6" s="54" t="s">
        <v>184</v>
      </c>
      <c r="B6" s="55" t="s">
        <v>211</v>
      </c>
      <c r="C6" s="55" t="s">
        <v>212</v>
      </c>
      <c r="D6" s="55" t="s">
        <v>522</v>
      </c>
      <c r="E6" s="55" t="s">
        <v>523</v>
      </c>
      <c r="F6" s="55" t="s">
        <v>524</v>
      </c>
      <c r="G6" s="55" t="s">
        <v>213</v>
      </c>
      <c r="H6" s="55" t="s">
        <v>214</v>
      </c>
      <c r="I6" s="55" t="s">
        <v>525</v>
      </c>
      <c r="J6" s="55" t="s">
        <v>526</v>
      </c>
      <c r="K6" s="55" t="s">
        <v>527</v>
      </c>
      <c r="L6" s="56" t="s">
        <v>277</v>
      </c>
      <c r="M6" s="57"/>
      <c r="N6" s="57"/>
      <c r="O6" s="57"/>
      <c r="P6" s="57"/>
      <c r="Q6" s="57"/>
      <c r="R6" s="57"/>
      <c r="S6" s="57"/>
      <c r="T6" s="57"/>
      <c r="U6" s="57"/>
      <c r="V6" s="57"/>
      <c r="W6" s="57"/>
      <c r="X6" s="57"/>
      <c r="Y6" s="57"/>
      <c r="Z6" s="57"/>
    </row>
    <row r="7" spans="1:26" ht="16.2" thickBot="1" x14ac:dyDescent="0.35">
      <c r="A7" s="58" t="s">
        <v>543</v>
      </c>
      <c r="B7" s="59">
        <v>6798.61</v>
      </c>
      <c r="C7" s="59">
        <v>8879.82</v>
      </c>
      <c r="D7" s="59">
        <v>7625</v>
      </c>
      <c r="E7" s="59">
        <v>7665</v>
      </c>
      <c r="F7" s="59">
        <v>9198</v>
      </c>
      <c r="G7" s="60">
        <f>Assumptions!G8</f>
        <v>10232.906871481364</v>
      </c>
      <c r="H7" s="60">
        <f>Assumptions!H8</f>
        <v>11384.255603436673</v>
      </c>
      <c r="I7" s="60">
        <f>Assumptions!I8</f>
        <v>12665.147574593104</v>
      </c>
      <c r="J7" s="60">
        <f>Assumptions!J8</f>
        <v>14090.158256618755</v>
      </c>
      <c r="K7" s="60">
        <f>Assumptions!K8</f>
        <v>15675.503070712541</v>
      </c>
      <c r="L7" s="61"/>
    </row>
    <row r="8" spans="1:26" ht="16.2" thickBot="1" x14ac:dyDescent="0.35">
      <c r="A8" s="58" t="s">
        <v>544</v>
      </c>
      <c r="B8" s="62">
        <v>62.53</v>
      </c>
      <c r="C8" s="62">
        <v>111.26</v>
      </c>
      <c r="D8" s="62">
        <v>349</v>
      </c>
      <c r="E8" s="62">
        <v>337</v>
      </c>
      <c r="F8" s="62">
        <v>352</v>
      </c>
      <c r="G8" s="60">
        <f>Assumptions!G11</f>
        <v>306.44028163106952</v>
      </c>
      <c r="H8" s="60">
        <f>Assumptions!H11</f>
        <v>388.16178206882768</v>
      </c>
      <c r="I8" s="60">
        <f>Assumptions!I11</f>
        <v>486.4649795936856</v>
      </c>
      <c r="J8" s="60">
        <f>Assumptions!J11</f>
        <v>520.45642248184549</v>
      </c>
      <c r="K8" s="60">
        <f>Assumptions!K11</f>
        <v>556.98019503653757</v>
      </c>
      <c r="L8" s="61"/>
    </row>
    <row r="9" spans="1:26" ht="16.2" thickBot="1" x14ac:dyDescent="0.35">
      <c r="A9" s="58" t="s">
        <v>545</v>
      </c>
      <c r="B9" s="63">
        <f t="shared" ref="B9:K9" si="0">SUM(B7:B8)</f>
        <v>6861.1399999999994</v>
      </c>
      <c r="C9" s="63">
        <f t="shared" si="0"/>
        <v>8991.08</v>
      </c>
      <c r="D9" s="63">
        <f t="shared" si="0"/>
        <v>7974</v>
      </c>
      <c r="E9" s="63">
        <f t="shared" si="0"/>
        <v>8002</v>
      </c>
      <c r="F9" s="63">
        <f t="shared" si="0"/>
        <v>9550</v>
      </c>
      <c r="G9" s="60">
        <f t="shared" si="0"/>
        <v>10539.347153112434</v>
      </c>
      <c r="H9" s="60">
        <f t="shared" si="0"/>
        <v>11772.417385505501</v>
      </c>
      <c r="I9" s="60">
        <f t="shared" si="0"/>
        <v>13151.61255418679</v>
      </c>
      <c r="J9" s="60">
        <f t="shared" si="0"/>
        <v>14610.614679100601</v>
      </c>
      <c r="K9" s="60">
        <f t="shared" si="0"/>
        <v>16232.483265749079</v>
      </c>
      <c r="L9" s="61"/>
    </row>
    <row r="10" spans="1:26" ht="16.2" thickBot="1" x14ac:dyDescent="0.35">
      <c r="A10" s="64" t="s">
        <v>279</v>
      </c>
      <c r="B10" s="62">
        <v>521.44000000000005</v>
      </c>
      <c r="C10" s="62">
        <v>645.42999999999995</v>
      </c>
      <c r="D10" s="62">
        <v>781</v>
      </c>
      <c r="E10" s="62">
        <v>776</v>
      </c>
      <c r="F10" s="62">
        <v>741</v>
      </c>
      <c r="G10" s="60">
        <f>Assumptions!G14</f>
        <v>887.41750242087528</v>
      </c>
      <c r="H10" s="60">
        <f>Assumptions!H14</f>
        <v>1010.0876355321733</v>
      </c>
      <c r="I10" s="60">
        <f>Assumptions!I14</f>
        <v>1164.3710402498039</v>
      </c>
      <c r="J10" s="60">
        <f>Assumptions!J14</f>
        <v>1265.8150143216019</v>
      </c>
      <c r="K10" s="60">
        <f>Assumptions!K14</f>
        <v>1372.489116960367</v>
      </c>
      <c r="L10" s="61"/>
    </row>
    <row r="11" spans="1:26" ht="16.2" thickBot="1" x14ac:dyDescent="0.35">
      <c r="A11" s="64" t="s">
        <v>166</v>
      </c>
      <c r="B11" s="63">
        <f>B9-B10</f>
        <v>6339.6999999999989</v>
      </c>
      <c r="C11" s="63">
        <f>C9-C10</f>
        <v>8345.65</v>
      </c>
      <c r="D11" s="63">
        <f>D9-D10</f>
        <v>7193</v>
      </c>
      <c r="E11" s="63">
        <f>E9-E10</f>
        <v>7226</v>
      </c>
      <c r="F11" s="63">
        <f>F9-F10</f>
        <v>8809</v>
      </c>
      <c r="G11" s="60">
        <f>G9-G10</f>
        <v>9651.9296506915598</v>
      </c>
      <c r="H11" s="60">
        <f>H9-H10</f>
        <v>10762.329749973329</v>
      </c>
      <c r="I11" s="60">
        <f>I9-I10</f>
        <v>11987.241513936986</v>
      </c>
      <c r="J11" s="60">
        <f>J9-J10</f>
        <v>13344.799664778999</v>
      </c>
      <c r="K11" s="60">
        <f>K9-K10</f>
        <v>14859.994148788712</v>
      </c>
      <c r="L11" s="61"/>
    </row>
    <row r="12" spans="1:26" ht="16.2" thickBot="1" x14ac:dyDescent="0.35">
      <c r="A12" s="58" t="s">
        <v>546</v>
      </c>
      <c r="B12" s="62">
        <v>808.68</v>
      </c>
      <c r="C12" s="62">
        <v>926.55</v>
      </c>
      <c r="D12" s="62">
        <v>953</v>
      </c>
      <c r="E12" s="59">
        <v>1067</v>
      </c>
      <c r="F12" s="59">
        <v>1210</v>
      </c>
      <c r="G12" s="60">
        <f>Assumptions!G17</f>
        <v>1266.8938221020464</v>
      </c>
      <c r="H12" s="60">
        <f>Assumptions!H17</f>
        <v>1420.4985172673996</v>
      </c>
      <c r="I12" s="60">
        <f>Assumptions!I17</f>
        <v>1632.0852215046818</v>
      </c>
      <c r="J12" s="60">
        <f>Assumptions!J17</f>
        <v>1826.6540905283628</v>
      </c>
      <c r="K12" s="60">
        <f>Assumptions!K17</f>
        <v>2002.1955433133944</v>
      </c>
      <c r="L12" s="61"/>
    </row>
    <row r="13" spans="1:26" ht="16.2" thickBot="1" x14ac:dyDescent="0.35">
      <c r="A13" s="58" t="s">
        <v>547</v>
      </c>
      <c r="B13" s="62">
        <v>292.52999999999997</v>
      </c>
      <c r="C13" s="62">
        <v>340.16</v>
      </c>
      <c r="D13" s="62">
        <v>402</v>
      </c>
      <c r="E13" s="62">
        <v>367</v>
      </c>
      <c r="F13" s="62">
        <v>449</v>
      </c>
      <c r="G13" s="60">
        <f>Assumptions!G23</f>
        <v>472.2511919602656</v>
      </c>
      <c r="H13" s="60">
        <f>Assumptions!H23</f>
        <v>532.49531398175372</v>
      </c>
      <c r="I13" s="60">
        <f>Assumptions!I23</f>
        <v>613.85743404508423</v>
      </c>
      <c r="J13" s="60">
        <f>Assumptions!J23</f>
        <v>670.93991104243071</v>
      </c>
      <c r="K13" s="60">
        <f>Assumptions!K23</f>
        <v>745.6077887367104</v>
      </c>
      <c r="L13" s="61"/>
    </row>
    <row r="14" spans="1:26" ht="16.2" thickBot="1" x14ac:dyDescent="0.35">
      <c r="A14" s="64" t="s">
        <v>167</v>
      </c>
      <c r="B14" s="63">
        <f>B11-B12-B13</f>
        <v>5238.4899999999989</v>
      </c>
      <c r="C14" s="63">
        <f>C11-C12-C13</f>
        <v>7078.94</v>
      </c>
      <c r="D14" s="63">
        <f>D11-D12-D13</f>
        <v>5838</v>
      </c>
      <c r="E14" s="63">
        <f>E11-E12-E13</f>
        <v>5792</v>
      </c>
      <c r="F14" s="63">
        <f>F11-F12-F13</f>
        <v>7150</v>
      </c>
      <c r="G14" s="60">
        <f>G11-G12-G13</f>
        <v>7912.784636629247</v>
      </c>
      <c r="H14" s="60">
        <f>H11-H12-H13</f>
        <v>8809.3359187241749</v>
      </c>
      <c r="I14" s="60">
        <f>I11-I12-I13</f>
        <v>9741.2988583872193</v>
      </c>
      <c r="J14" s="60">
        <f>J11-J12-J13</f>
        <v>10847.205663208206</v>
      </c>
      <c r="K14" s="60">
        <f>K11-K12-K13</f>
        <v>12112.190816738606</v>
      </c>
      <c r="L14" s="61"/>
    </row>
    <row r="15" spans="1:26" ht="16.2" thickBot="1" x14ac:dyDescent="0.35">
      <c r="A15" s="58" t="s">
        <v>86</v>
      </c>
      <c r="B15" s="62">
        <v>254.65</v>
      </c>
      <c r="C15" s="62">
        <v>310.55</v>
      </c>
      <c r="D15" s="62">
        <v>342</v>
      </c>
      <c r="E15" s="62">
        <v>376</v>
      </c>
      <c r="F15" s="62">
        <v>401</v>
      </c>
      <c r="G15" s="60">
        <f>'PPE '!G8</f>
        <v>446.69800165199348</v>
      </c>
      <c r="H15" s="60">
        <f>'PPE '!H8</f>
        <v>493.46752817393485</v>
      </c>
      <c r="I15" s="60">
        <f>'PPE '!I8</f>
        <v>545.19100597732108</v>
      </c>
      <c r="J15" s="60">
        <f>'PPE '!J8</f>
        <v>595.92882165329229</v>
      </c>
      <c r="K15" s="60">
        <f>'PPE '!K8</f>
        <v>658.35324330725996</v>
      </c>
      <c r="L15" s="61"/>
    </row>
    <row r="16" spans="1:26" ht="16.2" thickBot="1" x14ac:dyDescent="0.35">
      <c r="A16" s="64" t="s">
        <v>168</v>
      </c>
      <c r="B16" s="63">
        <f>B14-B15</f>
        <v>4983.8399999999992</v>
      </c>
      <c r="C16" s="63">
        <f>C14-C15</f>
        <v>6768.3899999999994</v>
      </c>
      <c r="D16" s="63">
        <f>D14-D15</f>
        <v>5496</v>
      </c>
      <c r="E16" s="63">
        <f>E14-E15</f>
        <v>5416</v>
      </c>
      <c r="F16" s="63">
        <f>F14-F15</f>
        <v>6749</v>
      </c>
      <c r="G16" s="60">
        <f>G14-G15</f>
        <v>7466.0866349772532</v>
      </c>
      <c r="H16" s="60">
        <f>H14-H15</f>
        <v>8315.8683905502403</v>
      </c>
      <c r="I16" s="60">
        <f>I14-I15</f>
        <v>9196.1078524098975</v>
      </c>
      <c r="J16" s="60">
        <f>J14-J15</f>
        <v>10251.276841554914</v>
      </c>
      <c r="K16" s="60">
        <f>K14-K15</f>
        <v>11453.837573431347</v>
      </c>
      <c r="L16" s="61"/>
    </row>
    <row r="17" spans="1:12" ht="16.2" thickBot="1" x14ac:dyDescent="0.35">
      <c r="A17" s="58" t="s">
        <v>548</v>
      </c>
      <c r="B17" s="62">
        <v>1.81</v>
      </c>
      <c r="C17" s="62">
        <v>1.73</v>
      </c>
      <c r="D17" s="62">
        <v>2</v>
      </c>
      <c r="E17" s="62">
        <v>4</v>
      </c>
      <c r="F17" s="62">
        <v>2</v>
      </c>
      <c r="G17" s="60">
        <f>Assumptions!G20</f>
        <v>2.9934136078379168</v>
      </c>
      <c r="H17" s="60">
        <f>Assumptions!H20</f>
        <v>3.390090563002039</v>
      </c>
      <c r="I17" s="60">
        <f>Assumptions!I20</f>
        <v>4.0323348690148837</v>
      </c>
      <c r="J17" s="60">
        <f>Assumptions!J20</f>
        <v>4.6440805809380299</v>
      </c>
      <c r="K17" s="60">
        <f>Assumptions!K20</f>
        <v>4.563867140485832</v>
      </c>
      <c r="L17" s="61"/>
    </row>
    <row r="18" spans="1:12" ht="16.2" thickBot="1" x14ac:dyDescent="0.35">
      <c r="A18" s="64" t="s">
        <v>280</v>
      </c>
      <c r="B18" s="63">
        <f>B16-B17</f>
        <v>4982.0299999999988</v>
      </c>
      <c r="C18" s="63">
        <f>C16-C17</f>
        <v>6766.66</v>
      </c>
      <c r="D18" s="63">
        <f>D16-D17</f>
        <v>5494</v>
      </c>
      <c r="E18" s="63">
        <f>E16-E17</f>
        <v>5412</v>
      </c>
      <c r="F18" s="63">
        <f>F16-F17</f>
        <v>6747</v>
      </c>
      <c r="G18" s="60">
        <f>G16-G17</f>
        <v>7463.093221369415</v>
      </c>
      <c r="H18" s="60">
        <f>H16-H17</f>
        <v>8312.4782999872386</v>
      </c>
      <c r="I18" s="60">
        <f>I16-I17</f>
        <v>9192.0755175408831</v>
      </c>
      <c r="J18" s="60">
        <f>J16-J17</f>
        <v>10246.632760973976</v>
      </c>
      <c r="K18" s="60">
        <f>K16-K17</f>
        <v>11449.273706290862</v>
      </c>
      <c r="L18" s="61"/>
    </row>
    <row r="19" spans="1:12" ht="16.2" thickBot="1" x14ac:dyDescent="0.35">
      <c r="A19" s="64" t="s">
        <v>210</v>
      </c>
      <c r="B19" s="65">
        <v>0.25619999999999998</v>
      </c>
      <c r="C19" s="65">
        <v>0.19800000000000001</v>
      </c>
      <c r="D19" s="65">
        <v>0.2319</v>
      </c>
      <c r="E19" s="65">
        <v>0.26079999999999998</v>
      </c>
      <c r="F19" s="65">
        <v>0.24579999999999999</v>
      </c>
      <c r="G19" s="66">
        <f>Assumptions!G27</f>
        <v>0.25168000000000001</v>
      </c>
      <c r="H19" s="66">
        <f>Assumptions!H27</f>
        <v>0.25168000000000001</v>
      </c>
      <c r="I19" s="66">
        <f>Assumptions!I27</f>
        <v>0.25168000000000001</v>
      </c>
      <c r="J19" s="66">
        <f>Assumptions!J27</f>
        <v>0.25168000000000001</v>
      </c>
      <c r="K19" s="66">
        <f>Assumptions!K27</f>
        <v>0.25168000000000001</v>
      </c>
      <c r="L19" s="61"/>
    </row>
    <row r="20" spans="1:12" ht="16.2" thickBot="1" x14ac:dyDescent="0.35">
      <c r="A20" s="64" t="s">
        <v>224</v>
      </c>
      <c r="B20" s="62">
        <v>609.04999999999995</v>
      </c>
      <c r="C20" s="62">
        <v>637.20000000000005</v>
      </c>
      <c r="D20" s="62">
        <v>438</v>
      </c>
      <c r="E20" s="62">
        <v>511</v>
      </c>
      <c r="F20" s="62">
        <v>793</v>
      </c>
      <c r="G20" s="60">
        <f>Assumptions!G26</f>
        <v>1878.3113019542545</v>
      </c>
      <c r="H20" s="60">
        <f>Assumptions!H26</f>
        <v>2092.0845385407883</v>
      </c>
      <c r="I20" s="60">
        <f>Assumptions!I26</f>
        <v>2313.4615662546894</v>
      </c>
      <c r="J20" s="60">
        <f>Assumptions!J26</f>
        <v>2578.8725332819304</v>
      </c>
      <c r="K20" s="60">
        <f>Assumptions!K26</f>
        <v>2881.5532063992841</v>
      </c>
      <c r="L20" s="58"/>
    </row>
    <row r="21" spans="1:12" ht="16.2" thickBot="1" x14ac:dyDescent="0.35">
      <c r="A21" s="64" t="s">
        <v>225</v>
      </c>
      <c r="B21" s="62">
        <v>64.099999999999994</v>
      </c>
      <c r="C21" s="62">
        <v>90.78</v>
      </c>
      <c r="D21" s="62">
        <v>108</v>
      </c>
      <c r="E21" s="62">
        <v>45</v>
      </c>
      <c r="F21" s="62">
        <v>-73</v>
      </c>
      <c r="G21" s="60">
        <v>0</v>
      </c>
      <c r="H21" s="60">
        <v>0</v>
      </c>
      <c r="I21" s="60">
        <v>0</v>
      </c>
      <c r="J21" s="60">
        <v>0</v>
      </c>
      <c r="K21" s="60">
        <v>0</v>
      </c>
      <c r="L21" s="61"/>
    </row>
    <row r="22" spans="1:12" ht="16.2" thickBot="1" x14ac:dyDescent="0.35">
      <c r="A22" s="67" t="s">
        <v>281</v>
      </c>
      <c r="B22" s="68">
        <f>B18-B20-B21</f>
        <v>4308.8799999999983</v>
      </c>
      <c r="C22" s="68">
        <f t="shared" ref="C22:E22" si="1">C18-C20-C21</f>
        <v>6038.68</v>
      </c>
      <c r="D22" s="68">
        <f t="shared" si="1"/>
        <v>4948</v>
      </c>
      <c r="E22" s="68">
        <f t="shared" si="1"/>
        <v>4856</v>
      </c>
      <c r="F22" s="68">
        <f>F18-F20-F21</f>
        <v>6027</v>
      </c>
      <c r="G22" s="68">
        <f>G18-G20-G21</f>
        <v>5584.7819194151607</v>
      </c>
      <c r="H22" s="68">
        <f t="shared" ref="H22:K22" si="2">H18-H20-H21</f>
        <v>6220.3937614464503</v>
      </c>
      <c r="I22" s="68">
        <f t="shared" si="2"/>
        <v>6878.6139512861937</v>
      </c>
      <c r="J22" s="68">
        <f t="shared" si="2"/>
        <v>7667.7602276920461</v>
      </c>
      <c r="K22" s="68">
        <f t="shared" si="2"/>
        <v>8567.7204998915768</v>
      </c>
      <c r="L22" s="61"/>
    </row>
    <row r="23" spans="1:12" ht="16.2" thickBot="1" x14ac:dyDescent="0.35">
      <c r="A23" s="64" t="s">
        <v>282</v>
      </c>
      <c r="B23" s="63">
        <f>B22/B31</f>
        <v>81.161800715765636</v>
      </c>
      <c r="C23" s="63">
        <f>C22/C31</f>
        <v>113.74420794876625</v>
      </c>
      <c r="D23" s="63">
        <f t="shared" ref="D23:F23" si="3">D22/D31</f>
        <v>93.35849056603773</v>
      </c>
      <c r="E23" s="63">
        <f t="shared" si="3"/>
        <v>91.622641509433961</v>
      </c>
      <c r="F23" s="63">
        <f t="shared" si="3"/>
        <v>113.71698113207547</v>
      </c>
      <c r="G23" s="60">
        <f t="shared" ref="G23" si="4">G22/G31</f>
        <v>105.3732437625502</v>
      </c>
      <c r="H23" s="60">
        <f t="shared" ref="H23" si="5">H22/H31</f>
        <v>117.36592002729151</v>
      </c>
      <c r="I23" s="60">
        <f t="shared" ref="I23" si="6">I22/I31</f>
        <v>129.78516889219233</v>
      </c>
      <c r="J23" s="60">
        <f t="shared" ref="J23" si="7">J22/J31</f>
        <v>144.67472127720842</v>
      </c>
      <c r="K23" s="60">
        <f t="shared" ref="K23" si="8">K22/K31</f>
        <v>161.65510377153919</v>
      </c>
      <c r="L23" s="61"/>
    </row>
    <row r="24" spans="1:12" ht="16.2" thickBot="1" x14ac:dyDescent="0.35">
      <c r="A24" s="64" t="s">
        <v>421</v>
      </c>
      <c r="B24" s="62">
        <v>0</v>
      </c>
      <c r="C24" s="62">
        <v>0</v>
      </c>
      <c r="D24" s="62">
        <v>0</v>
      </c>
      <c r="E24" s="62">
        <v>0</v>
      </c>
      <c r="F24" s="62">
        <v>0</v>
      </c>
      <c r="G24" s="60">
        <f>Assumptions!G29</f>
        <v>0</v>
      </c>
      <c r="H24" s="60">
        <f>Assumptions!H29</f>
        <v>0</v>
      </c>
      <c r="I24" s="60">
        <f>Assumptions!I29</f>
        <v>0</v>
      </c>
      <c r="J24" s="60">
        <f>Assumptions!J29</f>
        <v>0</v>
      </c>
      <c r="K24" s="60">
        <f>Assumptions!K29</f>
        <v>0</v>
      </c>
      <c r="L24" s="58"/>
    </row>
    <row r="25" spans="1:12" ht="16.2" thickBot="1" x14ac:dyDescent="0.35">
      <c r="A25" s="64" t="s">
        <v>422</v>
      </c>
      <c r="B25" s="69">
        <f>B24/B31</f>
        <v>0</v>
      </c>
      <c r="C25" s="69">
        <f>C24/C31</f>
        <v>0</v>
      </c>
      <c r="D25" s="69">
        <f>D24/D31</f>
        <v>0</v>
      </c>
      <c r="E25" s="69">
        <f>E24/E31</f>
        <v>0</v>
      </c>
      <c r="F25" s="69">
        <f>F24/F31</f>
        <v>0</v>
      </c>
      <c r="G25" s="70">
        <f t="shared" ref="G25:K25" si="9">G24/G31</f>
        <v>0</v>
      </c>
      <c r="H25" s="70">
        <f t="shared" si="9"/>
        <v>0</v>
      </c>
      <c r="I25" s="70">
        <f t="shared" si="9"/>
        <v>0</v>
      </c>
      <c r="J25" s="70">
        <f t="shared" si="9"/>
        <v>0</v>
      </c>
      <c r="K25" s="70">
        <f t="shared" si="9"/>
        <v>0</v>
      </c>
      <c r="L25" s="58"/>
    </row>
    <row r="26" spans="1:12" x14ac:dyDescent="0.3">
      <c r="A26" s="29"/>
      <c r="B26" s="24"/>
      <c r="C26" s="24"/>
      <c r="D26" s="24"/>
      <c r="E26" s="24"/>
      <c r="F26" s="24"/>
      <c r="G26" s="24"/>
      <c r="H26" s="24"/>
      <c r="I26" s="24"/>
      <c r="J26" s="24"/>
      <c r="K26" s="24"/>
    </row>
    <row r="27" spans="1:12" x14ac:dyDescent="0.3">
      <c r="A27" s="29"/>
      <c r="B27" s="24"/>
      <c r="C27" s="24"/>
      <c r="D27" s="24"/>
      <c r="E27" s="24"/>
      <c r="F27" s="24"/>
      <c r="G27" s="24"/>
      <c r="H27" s="24"/>
      <c r="I27" s="24"/>
      <c r="J27" s="24"/>
      <c r="K27" s="24"/>
    </row>
    <row r="28" spans="1:12" x14ac:dyDescent="0.3">
      <c r="A28" s="46" t="s">
        <v>170</v>
      </c>
      <c r="B28" s="25"/>
      <c r="C28" s="25"/>
      <c r="D28" s="25"/>
      <c r="E28" s="25"/>
      <c r="F28" s="25"/>
      <c r="G28" s="26"/>
      <c r="H28" s="26"/>
      <c r="I28" s="26"/>
      <c r="J28" s="26"/>
      <c r="K28" s="26"/>
    </row>
    <row r="29" spans="1:12" x14ac:dyDescent="0.3">
      <c r="A29" s="27"/>
      <c r="B29" s="25"/>
      <c r="C29" s="25"/>
      <c r="D29" s="25"/>
      <c r="E29" s="25"/>
      <c r="F29" s="25"/>
      <c r="G29" s="26"/>
      <c r="H29" s="26"/>
      <c r="I29" s="26"/>
      <c r="J29" s="26"/>
      <c r="K29" s="26"/>
    </row>
    <row r="30" spans="1:12" ht="30.6" customHeight="1" thickBot="1" x14ac:dyDescent="0.35">
      <c r="A30" s="71" t="s">
        <v>187</v>
      </c>
      <c r="B30" s="55" t="s">
        <v>211</v>
      </c>
      <c r="C30" s="55" t="s">
        <v>212</v>
      </c>
      <c r="D30" s="55" t="s">
        <v>522</v>
      </c>
      <c r="E30" s="55" t="s">
        <v>523</v>
      </c>
      <c r="F30" s="55" t="s">
        <v>524</v>
      </c>
      <c r="G30" s="55" t="s">
        <v>213</v>
      </c>
      <c r="H30" s="55" t="s">
        <v>214</v>
      </c>
      <c r="I30" s="55" t="s">
        <v>525</v>
      </c>
      <c r="J30" s="55" t="s">
        <v>526</v>
      </c>
      <c r="K30" s="55" t="s">
        <v>527</v>
      </c>
      <c r="L30" s="56" t="s">
        <v>277</v>
      </c>
    </row>
    <row r="31" spans="1:12" ht="16.2" thickBot="1" x14ac:dyDescent="0.35">
      <c r="A31" s="64" t="s">
        <v>283</v>
      </c>
      <c r="B31" s="62">
        <v>53.09</v>
      </c>
      <c r="C31" s="62">
        <v>53.09</v>
      </c>
      <c r="D31" s="62">
        <v>53</v>
      </c>
      <c r="E31" s="62">
        <v>53</v>
      </c>
      <c r="F31" s="62">
        <v>53</v>
      </c>
      <c r="G31" s="60">
        <f>F31</f>
        <v>53</v>
      </c>
      <c r="H31" s="60">
        <f t="shared" ref="H31:K31" si="10">G31</f>
        <v>53</v>
      </c>
      <c r="I31" s="60">
        <f t="shared" si="10"/>
        <v>53</v>
      </c>
      <c r="J31" s="60">
        <f t="shared" si="10"/>
        <v>53</v>
      </c>
      <c r="K31" s="60">
        <f t="shared" si="10"/>
        <v>53</v>
      </c>
      <c r="L31" s="61" t="s">
        <v>284</v>
      </c>
    </row>
    <row r="32" spans="1:12" ht="16.2" thickBot="1" x14ac:dyDescent="0.35">
      <c r="A32" s="64" t="s">
        <v>285</v>
      </c>
      <c r="B32" s="59">
        <v>9218.48</v>
      </c>
      <c r="C32" s="59">
        <v>11638.26</v>
      </c>
      <c r="D32" s="59">
        <v>12652</v>
      </c>
      <c r="E32" s="59">
        <v>13431</v>
      </c>
      <c r="F32" s="59">
        <v>14842</v>
      </c>
      <c r="G32" s="60">
        <f>F32+G22-F24</f>
        <v>20426.78191941516</v>
      </c>
      <c r="H32" s="60">
        <f>G32+H22-G24</f>
        <v>26647.175680861612</v>
      </c>
      <c r="I32" s="60">
        <f>H32+I22-H24</f>
        <v>33525.789632147804</v>
      </c>
      <c r="J32" s="60">
        <f>I32+J22-I24</f>
        <v>41193.549859839848</v>
      </c>
      <c r="K32" s="60">
        <f>J32+K22-J24</f>
        <v>49761.270359731425</v>
      </c>
      <c r="L32" s="61" t="s">
        <v>424</v>
      </c>
    </row>
    <row r="33" spans="1:12" s="21" customFormat="1" ht="16.2" thickBot="1" x14ac:dyDescent="0.35">
      <c r="A33" s="64" t="s">
        <v>61</v>
      </c>
      <c r="B33" s="72">
        <f>SUM(B31:B32)</f>
        <v>9271.57</v>
      </c>
      <c r="C33" s="72">
        <f>SUM(C31:C32)</f>
        <v>11691.35</v>
      </c>
      <c r="D33" s="72">
        <f>SUM(D31:D32)</f>
        <v>12705</v>
      </c>
      <c r="E33" s="72">
        <f>SUM(E31:E32)</f>
        <v>13484</v>
      </c>
      <c r="F33" s="72">
        <f>SUM(F31:F32)</f>
        <v>14895</v>
      </c>
      <c r="G33" s="72">
        <f>SUM(G31:G32)</f>
        <v>20479.78191941516</v>
      </c>
      <c r="H33" s="72">
        <f>SUM(H31:H32)</f>
        <v>26700.175680861612</v>
      </c>
      <c r="I33" s="72">
        <f>SUM(I31:I32)</f>
        <v>33578.789632147804</v>
      </c>
      <c r="J33" s="72">
        <f>SUM(J31:J32)</f>
        <v>41246.549859839848</v>
      </c>
      <c r="K33" s="72">
        <f>SUM(K31:K32)</f>
        <v>49814.270359731425</v>
      </c>
      <c r="L33" s="61"/>
    </row>
    <row r="34" spans="1:12" ht="14.4" customHeight="1" thickBot="1" x14ac:dyDescent="0.35">
      <c r="A34" s="64" t="s">
        <v>278</v>
      </c>
      <c r="B34" s="63"/>
      <c r="C34" s="63"/>
      <c r="D34" s="63"/>
      <c r="E34" s="63"/>
      <c r="F34" s="63"/>
      <c r="G34" s="60"/>
      <c r="H34" s="60"/>
      <c r="I34" s="60"/>
      <c r="J34" s="60"/>
      <c r="K34" s="60"/>
      <c r="L34" s="61"/>
    </row>
    <row r="35" spans="1:12" ht="19.2" customHeight="1" thickBot="1" x14ac:dyDescent="0.35">
      <c r="A35" s="58" t="s">
        <v>549</v>
      </c>
      <c r="B35" s="62">
        <v>0.35</v>
      </c>
      <c r="C35" s="62">
        <v>0</v>
      </c>
      <c r="D35" s="62">
        <v>0</v>
      </c>
      <c r="E35" s="62">
        <v>0</v>
      </c>
      <c r="F35" s="62">
        <v>2</v>
      </c>
      <c r="G35" s="60">
        <f>F35</f>
        <v>2</v>
      </c>
      <c r="H35" s="60">
        <f t="shared" ref="H35:K35" si="11">G35</f>
        <v>2</v>
      </c>
      <c r="I35" s="60">
        <f t="shared" si="11"/>
        <v>2</v>
      </c>
      <c r="J35" s="60">
        <f t="shared" si="11"/>
        <v>2</v>
      </c>
      <c r="K35" s="60">
        <f t="shared" si="11"/>
        <v>2</v>
      </c>
      <c r="L35" s="61" t="s">
        <v>284</v>
      </c>
    </row>
    <row r="36" spans="1:12" ht="18" customHeight="1" thickBot="1" x14ac:dyDescent="0.35">
      <c r="A36" s="58" t="s">
        <v>550</v>
      </c>
      <c r="B36" s="62">
        <v>338.06</v>
      </c>
      <c r="C36" s="62">
        <v>421.4</v>
      </c>
      <c r="D36" s="62">
        <v>537</v>
      </c>
      <c r="E36" s="62">
        <v>582</v>
      </c>
      <c r="F36" s="62">
        <v>509</v>
      </c>
      <c r="G36" s="60">
        <f t="shared" ref="G36:K38" si="12">F36</f>
        <v>509</v>
      </c>
      <c r="H36" s="60">
        <f t="shared" si="12"/>
        <v>509</v>
      </c>
      <c r="I36" s="60">
        <f t="shared" si="12"/>
        <v>509</v>
      </c>
      <c r="J36" s="60">
        <f t="shared" si="12"/>
        <v>509</v>
      </c>
      <c r="K36" s="60">
        <f t="shared" si="12"/>
        <v>509</v>
      </c>
      <c r="L36" s="61" t="s">
        <v>284</v>
      </c>
    </row>
    <row r="37" spans="1:12" ht="18.600000000000001" customHeight="1" thickBot="1" x14ac:dyDescent="0.35">
      <c r="A37" s="64" t="s">
        <v>305</v>
      </c>
      <c r="B37" s="62">
        <v>0</v>
      </c>
      <c r="C37" s="62">
        <v>0</v>
      </c>
      <c r="D37" s="62">
        <v>0</v>
      </c>
      <c r="E37" s="62">
        <v>0</v>
      </c>
      <c r="F37" s="62">
        <v>0</v>
      </c>
      <c r="G37" s="60">
        <f t="shared" si="12"/>
        <v>0</v>
      </c>
      <c r="H37" s="60">
        <f t="shared" si="12"/>
        <v>0</v>
      </c>
      <c r="I37" s="60">
        <f t="shared" si="12"/>
        <v>0</v>
      </c>
      <c r="J37" s="60">
        <f t="shared" si="12"/>
        <v>0</v>
      </c>
      <c r="K37" s="60">
        <f t="shared" si="12"/>
        <v>0</v>
      </c>
      <c r="L37" s="61" t="s">
        <v>284</v>
      </c>
    </row>
    <row r="38" spans="1:12" ht="15" customHeight="1" thickBot="1" x14ac:dyDescent="0.35">
      <c r="A38" s="64" t="s">
        <v>541</v>
      </c>
      <c r="B38" s="63">
        <v>25.25</v>
      </c>
      <c r="C38" s="63">
        <v>26.71</v>
      </c>
      <c r="D38" s="63">
        <v>31</v>
      </c>
      <c r="E38" s="63">
        <v>37</v>
      </c>
      <c r="F38" s="63">
        <v>0</v>
      </c>
      <c r="G38" s="60">
        <f t="shared" si="12"/>
        <v>0</v>
      </c>
      <c r="H38" s="60">
        <f t="shared" si="12"/>
        <v>0</v>
      </c>
      <c r="I38" s="60">
        <f t="shared" si="12"/>
        <v>0</v>
      </c>
      <c r="J38" s="60">
        <f t="shared" si="12"/>
        <v>0</v>
      </c>
      <c r="K38" s="60">
        <f t="shared" si="12"/>
        <v>0</v>
      </c>
      <c r="L38" s="61" t="s">
        <v>284</v>
      </c>
    </row>
    <row r="39" spans="1:12" s="38" customFormat="1" ht="15" customHeight="1" thickBot="1" x14ac:dyDescent="0.35">
      <c r="A39" s="58" t="s">
        <v>551</v>
      </c>
      <c r="B39" s="63">
        <f>SUM(B33:B35,B37:B38)</f>
        <v>9297.17</v>
      </c>
      <c r="C39" s="63">
        <f t="shared" ref="C39:E39" si="13">SUM(C33:C35,C37:C38)</f>
        <v>11718.06</v>
      </c>
      <c r="D39" s="63">
        <f t="shared" si="13"/>
        <v>12736</v>
      </c>
      <c r="E39" s="63">
        <f t="shared" si="13"/>
        <v>13521</v>
      </c>
      <c r="F39" s="63">
        <f>SUM(F33:F35,F37:F38)</f>
        <v>14897</v>
      </c>
      <c r="G39" s="63">
        <f>SUM(G33:G35,G37:G38)</f>
        <v>20481.78191941516</v>
      </c>
      <c r="H39" s="63">
        <f t="shared" ref="H39" si="14">SUM(H33:H35,H37:H38)</f>
        <v>26702.175680861612</v>
      </c>
      <c r="I39" s="63">
        <f t="shared" ref="I39" si="15">SUM(I33:I35,I37:I38)</f>
        <v>33580.789632147804</v>
      </c>
      <c r="J39" s="63">
        <f t="shared" ref="J39" si="16">SUM(J33:J35,J37:J38)</f>
        <v>41248.549859839848</v>
      </c>
      <c r="K39" s="63">
        <f>SUM(K33:K35,K37:K38)</f>
        <v>49816.270359731425</v>
      </c>
      <c r="L39" s="61"/>
    </row>
    <row r="40" spans="1:12" ht="15.6" customHeight="1" thickBot="1" x14ac:dyDescent="0.35">
      <c r="A40" s="64" t="s">
        <v>286</v>
      </c>
      <c r="B40" s="73">
        <f>B35+B36+B37+B38</f>
        <v>363.66</v>
      </c>
      <c r="C40" s="73">
        <f t="shared" ref="C40:F40" si="17">C35+C36+C37+C38</f>
        <v>448.10999999999996</v>
      </c>
      <c r="D40" s="73">
        <f t="shared" si="17"/>
        <v>568</v>
      </c>
      <c r="E40" s="73">
        <f>E35+E36+E37+E38</f>
        <v>619</v>
      </c>
      <c r="F40" s="73">
        <f t="shared" si="17"/>
        <v>511</v>
      </c>
      <c r="G40" s="74">
        <f>SUM(G35:G38)</f>
        <v>511</v>
      </c>
      <c r="H40" s="74">
        <f>SUM(H35:H38)</f>
        <v>511</v>
      </c>
      <c r="I40" s="74">
        <f>SUM(I35:I38)</f>
        <v>511</v>
      </c>
      <c r="J40" s="74">
        <f>SUM(J35:J38)</f>
        <v>511</v>
      </c>
      <c r="K40" s="74">
        <f>SUM(K35:K38)</f>
        <v>511</v>
      </c>
      <c r="L40" s="61"/>
    </row>
    <row r="41" spans="1:12" ht="16.2" thickBot="1" x14ac:dyDescent="0.35">
      <c r="A41" s="64"/>
      <c r="B41" s="73"/>
      <c r="C41" s="73"/>
      <c r="D41" s="73"/>
      <c r="E41" s="73"/>
      <c r="F41" s="73"/>
      <c r="G41" s="74"/>
      <c r="H41" s="74"/>
      <c r="I41" s="74"/>
      <c r="J41" s="74"/>
      <c r="K41" s="74"/>
      <c r="L41" s="61"/>
    </row>
    <row r="42" spans="1:12" ht="16.2" thickBot="1" x14ac:dyDescent="0.35">
      <c r="A42" s="58" t="s">
        <v>344</v>
      </c>
      <c r="B42" s="62">
        <v>0.35</v>
      </c>
      <c r="C42" s="62">
        <v>0</v>
      </c>
      <c r="D42" s="62">
        <v>0</v>
      </c>
      <c r="E42" s="62">
        <v>0</v>
      </c>
      <c r="F42" s="62">
        <v>2</v>
      </c>
      <c r="G42" s="60">
        <f>F42</f>
        <v>2</v>
      </c>
      <c r="H42" s="60">
        <f t="shared" ref="H42:K42" si="18">G42</f>
        <v>2</v>
      </c>
      <c r="I42" s="60">
        <f t="shared" si="18"/>
        <v>2</v>
      </c>
      <c r="J42" s="60">
        <f t="shared" si="18"/>
        <v>2</v>
      </c>
      <c r="K42" s="60">
        <f t="shared" si="18"/>
        <v>2</v>
      </c>
      <c r="L42" s="61" t="s">
        <v>284</v>
      </c>
    </row>
    <row r="43" spans="1:12" ht="16.2" thickBot="1" x14ac:dyDescent="0.35">
      <c r="A43" s="58" t="s">
        <v>552</v>
      </c>
      <c r="B43" s="59">
        <v>1086.03</v>
      </c>
      <c r="C43" s="59">
        <v>1164.25</v>
      </c>
      <c r="D43" s="59">
        <v>1074</v>
      </c>
      <c r="E43" s="59">
        <v>1210</v>
      </c>
      <c r="F43" s="59">
        <v>1364</v>
      </c>
      <c r="G43" s="60">
        <f>Assumptions!G41</f>
        <v>1510.0921905947671</v>
      </c>
      <c r="H43" s="60">
        <f>Assumptions!H41</f>
        <v>1652.2881456900955</v>
      </c>
      <c r="I43" s="60">
        <f>Assumptions!I41</f>
        <v>1873.7228091106449</v>
      </c>
      <c r="J43" s="60">
        <f>Assumptions!J41</f>
        <v>2104.5254987046283</v>
      </c>
      <c r="K43" s="60">
        <f>Assumptions!K41</f>
        <v>2314.6694969067062</v>
      </c>
      <c r="L43" s="61" t="s">
        <v>183</v>
      </c>
    </row>
    <row r="44" spans="1:12" ht="16.2" thickBot="1" x14ac:dyDescent="0.35">
      <c r="A44" s="58" t="s">
        <v>553</v>
      </c>
      <c r="B44" s="62">
        <v>2.5099999999999998</v>
      </c>
      <c r="C44" s="62">
        <v>4.1500000000000004</v>
      </c>
      <c r="D44" s="62">
        <v>5</v>
      </c>
      <c r="E44" s="62">
        <v>49</v>
      </c>
      <c r="F44" s="62">
        <v>54</v>
      </c>
      <c r="G44" s="60">
        <f>F44</f>
        <v>54</v>
      </c>
      <c r="H44" s="60">
        <f t="shared" ref="H44:K44" si="19">G44</f>
        <v>54</v>
      </c>
      <c r="I44" s="60">
        <f t="shared" si="19"/>
        <v>54</v>
      </c>
      <c r="J44" s="60">
        <f t="shared" si="19"/>
        <v>54</v>
      </c>
      <c r="K44" s="60">
        <f t="shared" si="19"/>
        <v>54</v>
      </c>
      <c r="L44" s="61" t="s">
        <v>284</v>
      </c>
    </row>
    <row r="45" spans="1:12" ht="16.2" thickBot="1" x14ac:dyDescent="0.35">
      <c r="A45" s="64" t="s">
        <v>79</v>
      </c>
      <c r="B45" s="59">
        <f>B43+B44</f>
        <v>1088.54</v>
      </c>
      <c r="C45" s="59">
        <f t="shared" ref="C45:K45" si="20">C43+C44</f>
        <v>1168.4000000000001</v>
      </c>
      <c r="D45" s="59">
        <f t="shared" si="20"/>
        <v>1079</v>
      </c>
      <c r="E45" s="59">
        <f t="shared" si="20"/>
        <v>1259</v>
      </c>
      <c r="F45" s="59">
        <f>F43+F44</f>
        <v>1418</v>
      </c>
      <c r="G45" s="59">
        <f>G43+G44</f>
        <v>1564.0921905947671</v>
      </c>
      <c r="H45" s="59">
        <f t="shared" si="20"/>
        <v>1706.2881456900955</v>
      </c>
      <c r="I45" s="59">
        <f t="shared" si="20"/>
        <v>1927.7228091106449</v>
      </c>
      <c r="J45" s="59">
        <f t="shared" si="20"/>
        <v>2158.5254987046283</v>
      </c>
      <c r="K45" s="59">
        <f t="shared" si="20"/>
        <v>2368.6694969067062</v>
      </c>
      <c r="L45" s="61"/>
    </row>
    <row r="46" spans="1:12" ht="16.2" thickBot="1" x14ac:dyDescent="0.35">
      <c r="A46" s="64" t="s">
        <v>278</v>
      </c>
      <c r="B46" s="63"/>
      <c r="C46" s="63"/>
      <c r="D46" s="63"/>
      <c r="E46" s="63"/>
      <c r="F46" s="63"/>
      <c r="G46" s="60"/>
      <c r="H46" s="60"/>
      <c r="I46" s="60"/>
      <c r="J46" s="60"/>
      <c r="K46" s="60"/>
      <c r="L46" s="61"/>
    </row>
    <row r="47" spans="1:12" ht="16.2" thickBot="1" x14ac:dyDescent="0.35">
      <c r="A47" s="68" t="s">
        <v>287</v>
      </c>
      <c r="B47" s="68">
        <f>SUM(B39)</f>
        <v>9297.17</v>
      </c>
      <c r="C47" s="68">
        <f>SUM(C39)</f>
        <v>11718.06</v>
      </c>
      <c r="D47" s="68">
        <f>SUM(D39)</f>
        <v>12736</v>
      </c>
      <c r="E47" s="68">
        <f>SUM(E39)</f>
        <v>13521</v>
      </c>
      <c r="F47" s="68">
        <f>SUM(F39)</f>
        <v>14897</v>
      </c>
      <c r="G47" s="68">
        <f>SUM(G39)</f>
        <v>20481.78191941516</v>
      </c>
      <c r="H47" s="68">
        <f>SUM(H39)</f>
        <v>26702.175680861612</v>
      </c>
      <c r="I47" s="68">
        <f>SUM(I39)</f>
        <v>33580.789632147804</v>
      </c>
      <c r="J47" s="68">
        <f>SUM(J39)</f>
        <v>41248.549859839848</v>
      </c>
      <c r="K47" s="68">
        <f>SUM(K39)</f>
        <v>49816.270359731425</v>
      </c>
      <c r="L47" s="61"/>
    </row>
    <row r="48" spans="1:12" ht="16.2" thickBot="1" x14ac:dyDescent="0.35">
      <c r="A48" s="64"/>
      <c r="B48" s="63"/>
      <c r="C48" s="63"/>
      <c r="D48" s="63"/>
      <c r="E48" s="63"/>
      <c r="F48" s="63"/>
      <c r="G48" s="60"/>
      <c r="H48" s="60"/>
      <c r="I48" s="60"/>
      <c r="J48" s="60"/>
      <c r="K48" s="60"/>
      <c r="L48" s="61"/>
    </row>
    <row r="49" spans="1:13" ht="16.2" thickBot="1" x14ac:dyDescent="0.35">
      <c r="A49" s="58" t="s">
        <v>554</v>
      </c>
      <c r="B49" s="59">
        <v>3699.01</v>
      </c>
      <c r="C49" s="59">
        <v>4320.97</v>
      </c>
      <c r="D49" s="59">
        <v>4719</v>
      </c>
      <c r="E49" s="59">
        <v>4737</v>
      </c>
      <c r="F49" s="59">
        <v>5440</v>
      </c>
      <c r="G49" s="60">
        <f>'PPE '!G10</f>
        <v>6034.5647783482218</v>
      </c>
      <c r="H49" s="60">
        <f>'PPE '!H10</f>
        <v>6624.5312394339089</v>
      </c>
      <c r="I49" s="60">
        <f>'PPE '!I10</f>
        <v>7258.972467898061</v>
      </c>
      <c r="J49" s="60">
        <f>'PPE '!J10</f>
        <v>7964.4516493760157</v>
      </c>
      <c r="K49" s="60">
        <f>'PPE '!K10</f>
        <v>8881.2952162223464</v>
      </c>
      <c r="L49" s="61" t="s">
        <v>183</v>
      </c>
    </row>
    <row r="50" spans="1:13" ht="16.2" thickBot="1" x14ac:dyDescent="0.35">
      <c r="A50" s="64" t="s">
        <v>288</v>
      </c>
      <c r="B50" s="62">
        <v>710.62</v>
      </c>
      <c r="C50" s="62">
        <v>469.93</v>
      </c>
      <c r="D50" s="62">
        <v>212</v>
      </c>
      <c r="E50" s="62">
        <v>778</v>
      </c>
      <c r="F50" s="59">
        <v>1022</v>
      </c>
      <c r="G50" s="60">
        <f>F50</f>
        <v>1022</v>
      </c>
      <c r="H50" s="60">
        <f t="shared" ref="H50:K53" si="21">G50</f>
        <v>1022</v>
      </c>
      <c r="I50" s="60">
        <f t="shared" si="21"/>
        <v>1022</v>
      </c>
      <c r="J50" s="60">
        <f t="shared" si="21"/>
        <v>1022</v>
      </c>
      <c r="K50" s="60">
        <f t="shared" si="21"/>
        <v>1022</v>
      </c>
      <c r="L50" s="61" t="s">
        <v>284</v>
      </c>
    </row>
    <row r="51" spans="1:13" ht="16.2" thickBot="1" x14ac:dyDescent="0.35">
      <c r="A51" s="58" t="s">
        <v>100</v>
      </c>
      <c r="B51" s="62">
        <v>7.37</v>
      </c>
      <c r="C51" s="62">
        <v>79.37</v>
      </c>
      <c r="D51" s="62">
        <v>84</v>
      </c>
      <c r="E51" s="62">
        <v>89</v>
      </c>
      <c r="F51" s="62">
        <v>72</v>
      </c>
      <c r="G51" s="60">
        <f>F51</f>
        <v>72</v>
      </c>
      <c r="H51" s="60">
        <f t="shared" si="21"/>
        <v>72</v>
      </c>
      <c r="I51" s="60">
        <f t="shared" si="21"/>
        <v>72</v>
      </c>
      <c r="J51" s="60">
        <f t="shared" si="21"/>
        <v>72</v>
      </c>
      <c r="K51" s="60">
        <f t="shared" si="21"/>
        <v>72</v>
      </c>
      <c r="L51" s="61" t="s">
        <v>284</v>
      </c>
    </row>
    <row r="52" spans="1:13" ht="16.2" thickBot="1" x14ac:dyDescent="0.35">
      <c r="A52" s="64" t="s">
        <v>540</v>
      </c>
      <c r="B52" s="62">
        <v>-338.06</v>
      </c>
      <c r="C52" s="62">
        <v>-421.4</v>
      </c>
      <c r="D52" s="62">
        <v>-537</v>
      </c>
      <c r="E52" s="62">
        <v>-582</v>
      </c>
      <c r="F52" s="62">
        <v>-509</v>
      </c>
      <c r="G52" s="60">
        <f>F52</f>
        <v>-509</v>
      </c>
      <c r="H52" s="60">
        <f t="shared" si="21"/>
        <v>-509</v>
      </c>
      <c r="I52" s="60">
        <f t="shared" si="21"/>
        <v>-509</v>
      </c>
      <c r="J52" s="60">
        <f t="shared" si="21"/>
        <v>-509</v>
      </c>
      <c r="K52" s="60">
        <f t="shared" si="21"/>
        <v>-509</v>
      </c>
      <c r="L52" s="61" t="s">
        <v>284</v>
      </c>
    </row>
    <row r="53" spans="1:13" ht="16.2" thickBot="1" x14ac:dyDescent="0.35">
      <c r="A53" s="64" t="s">
        <v>539</v>
      </c>
      <c r="B53" s="62">
        <v>181.46</v>
      </c>
      <c r="C53" s="62">
        <v>141.63</v>
      </c>
      <c r="D53" s="62">
        <v>101</v>
      </c>
      <c r="E53" s="62">
        <v>186</v>
      </c>
      <c r="F53" s="62">
        <v>311</v>
      </c>
      <c r="G53" s="60">
        <f t="shared" ref="G53" si="22">F53</f>
        <v>311</v>
      </c>
      <c r="H53" s="60">
        <f t="shared" si="21"/>
        <v>311</v>
      </c>
      <c r="I53" s="60">
        <f t="shared" si="21"/>
        <v>311</v>
      </c>
      <c r="J53" s="60">
        <f t="shared" si="21"/>
        <v>311</v>
      </c>
      <c r="K53" s="60">
        <f t="shared" si="21"/>
        <v>311</v>
      </c>
      <c r="L53" s="61" t="s">
        <v>284</v>
      </c>
    </row>
    <row r="54" spans="1:13" ht="16.2" thickBot="1" x14ac:dyDescent="0.35">
      <c r="A54" s="64" t="s">
        <v>538</v>
      </c>
      <c r="B54" s="59">
        <f>B60-B45</f>
        <v>5036.7700000000004</v>
      </c>
      <c r="C54" s="59">
        <f>C60-C45</f>
        <v>7127.5600000000013</v>
      </c>
      <c r="D54" s="59">
        <f>D60-D45</f>
        <v>8157</v>
      </c>
      <c r="E54" s="59">
        <f>E60-E45</f>
        <v>8313</v>
      </c>
      <c r="F54" s="59">
        <f>F60-F45</f>
        <v>8561</v>
      </c>
      <c r="G54" s="59">
        <f>G60-G45</f>
        <v>13551.217681331373</v>
      </c>
      <c r="H54" s="59">
        <f>H60-H45</f>
        <v>19181.578230397448</v>
      </c>
      <c r="I54" s="59">
        <f>I60-I45</f>
        <v>25425.615534858916</v>
      </c>
      <c r="J54" s="59">
        <f>J60-J45</f>
        <v>32387.657941106503</v>
      </c>
      <c r="K54" s="59">
        <f>K60-K45</f>
        <v>40038.190644213137</v>
      </c>
      <c r="L54" s="61"/>
    </row>
    <row r="55" spans="1:13" ht="16.2" thickBot="1" x14ac:dyDescent="0.35">
      <c r="A55" s="58" t="s">
        <v>97</v>
      </c>
      <c r="B55" s="59">
        <v>2042.7</v>
      </c>
      <c r="C55" s="59">
        <v>2644.05</v>
      </c>
      <c r="D55" s="59">
        <v>2781</v>
      </c>
      <c r="E55" s="59">
        <v>2985</v>
      </c>
      <c r="F55" s="59">
        <v>3033</v>
      </c>
      <c r="G55" s="60">
        <f>Assumptions!G37</f>
        <v>3463.5157242648038</v>
      </c>
      <c r="H55" s="60">
        <f>Assumptions!H37</f>
        <v>3939.3565981947859</v>
      </c>
      <c r="I55" s="60">
        <f>Assumptions!I37</f>
        <v>4495.2911761176892</v>
      </c>
      <c r="J55" s="60">
        <f>Assumptions!J37</f>
        <v>4962.8557723094264</v>
      </c>
      <c r="K55" s="60">
        <f>Assumptions!K37</f>
        <v>5401.4120571729563</v>
      </c>
      <c r="L55" s="61" t="s">
        <v>183</v>
      </c>
    </row>
    <row r="56" spans="1:13" ht="16.2" thickBot="1" x14ac:dyDescent="0.35">
      <c r="A56" s="58" t="s">
        <v>555</v>
      </c>
      <c r="B56" s="59">
        <v>1745.56</v>
      </c>
      <c r="C56" s="59">
        <v>2569.9</v>
      </c>
      <c r="D56" s="59">
        <v>1964</v>
      </c>
      <c r="E56" s="59">
        <v>2273</v>
      </c>
      <c r="F56" s="59">
        <v>2855</v>
      </c>
      <c r="G56" s="60">
        <f>Assumptions!G34</f>
        <v>2887.0541476613353</v>
      </c>
      <c r="H56" s="60">
        <f>Assumptions!H34</f>
        <v>3269.679777892758</v>
      </c>
      <c r="I56" s="60">
        <f>Assumptions!I34</f>
        <v>3631.9971678518709</v>
      </c>
      <c r="J56" s="60">
        <f>Assumptions!J34</f>
        <v>4122.9276675017018</v>
      </c>
      <c r="K56" s="60">
        <f>Assumptions!K34</f>
        <v>4574.488083946886</v>
      </c>
      <c r="L56" s="61" t="s">
        <v>183</v>
      </c>
    </row>
    <row r="57" spans="1:13" ht="16.2" thickBot="1" x14ac:dyDescent="0.35">
      <c r="A57" s="58" t="s">
        <v>556</v>
      </c>
      <c r="B57" s="59">
        <v>2142.0100000000002</v>
      </c>
      <c r="C57" s="59">
        <v>2803.68</v>
      </c>
      <c r="D57" s="59">
        <v>4188</v>
      </c>
      <c r="E57" s="59">
        <v>3961</v>
      </c>
      <c r="F57" s="59">
        <v>3696</v>
      </c>
      <c r="G57" s="60">
        <v>8369.74</v>
      </c>
      <c r="H57" s="60">
        <v>13283.83</v>
      </c>
      <c r="I57" s="60">
        <v>18831.05</v>
      </c>
      <c r="J57" s="60">
        <v>25065.4</v>
      </c>
      <c r="K57" s="60">
        <v>32035.96</v>
      </c>
      <c r="L57" s="61" t="s">
        <v>289</v>
      </c>
    </row>
    <row r="58" spans="1:13" ht="16.2" thickBot="1" x14ac:dyDescent="0.35">
      <c r="A58" s="58" t="s">
        <v>557</v>
      </c>
      <c r="B58" s="62">
        <v>195.04</v>
      </c>
      <c r="C58" s="62">
        <v>278.33</v>
      </c>
      <c r="D58" s="62">
        <v>303</v>
      </c>
      <c r="E58" s="62">
        <v>353</v>
      </c>
      <c r="F58" s="62">
        <v>395</v>
      </c>
      <c r="G58" s="60">
        <f>F58</f>
        <v>395</v>
      </c>
      <c r="H58" s="60">
        <f t="shared" ref="H58:K58" si="23">G58</f>
        <v>395</v>
      </c>
      <c r="I58" s="60">
        <f t="shared" si="23"/>
        <v>395</v>
      </c>
      <c r="J58" s="60">
        <f t="shared" si="23"/>
        <v>395</v>
      </c>
      <c r="K58" s="60">
        <f t="shared" si="23"/>
        <v>395</v>
      </c>
      <c r="L58" s="61" t="s">
        <v>284</v>
      </c>
    </row>
    <row r="59" spans="1:13" ht="16.2" thickBot="1" x14ac:dyDescent="0.35">
      <c r="A59" s="64" t="s">
        <v>290</v>
      </c>
      <c r="B59" s="59">
        <v>151.30000000000001</v>
      </c>
      <c r="C59" s="59">
        <v>215.81</v>
      </c>
      <c r="D59" s="59">
        <v>199.2</v>
      </c>
      <c r="E59" s="59">
        <v>318</v>
      </c>
      <c r="F59" s="59">
        <v>367</v>
      </c>
      <c r="G59" s="60">
        <f>Assumptions!G44</f>
        <v>315.31641969630061</v>
      </c>
      <c r="H59" s="60">
        <f>Assumptions!H44</f>
        <v>370.28255007458824</v>
      </c>
      <c r="I59" s="60">
        <f>Assumptions!I44</f>
        <v>432.77229322266413</v>
      </c>
      <c r="J59" s="60">
        <f>Assumptions!J44</f>
        <v>504.13853506625748</v>
      </c>
      <c r="K59" s="60">
        <f>Assumptions!K44</f>
        <v>542.96682118209242</v>
      </c>
      <c r="L59" s="61" t="s">
        <v>183</v>
      </c>
    </row>
    <row r="60" spans="1:13" ht="16.2" thickBot="1" x14ac:dyDescent="0.35">
      <c r="A60" s="64" t="s">
        <v>41</v>
      </c>
      <c r="B60" s="59">
        <f>SUM(B55,B56,B57,B58,B59)-B59</f>
        <v>6125.31</v>
      </c>
      <c r="C60" s="59">
        <f>SUM(C55,C56,C57,C58,C59)-C59</f>
        <v>8295.9600000000009</v>
      </c>
      <c r="D60" s="59">
        <f>SUM(D55,D56,D57,D58,D59)-D59</f>
        <v>9236</v>
      </c>
      <c r="E60" s="59">
        <f>SUM(E55,E56,E57,E58,E59)-E59</f>
        <v>9572</v>
      </c>
      <c r="F60" s="59">
        <f>SUM(F55,F56,F57,F58,F59)-F59</f>
        <v>9979</v>
      </c>
      <c r="G60" s="59">
        <f>SUM(G55,G56,G57,G58,G59)-G59</f>
        <v>15115.30987192614</v>
      </c>
      <c r="H60" s="59">
        <f>SUM(H55,H56,H57,H58,H59)-H59</f>
        <v>20887.866376087542</v>
      </c>
      <c r="I60" s="59">
        <f>SUM(I55,I56,I57,I58,I59)-I59</f>
        <v>27353.338343969561</v>
      </c>
      <c r="J60" s="59">
        <f>SUM(J55,J56,J57,J58,J59)-J59</f>
        <v>34546.183439811131</v>
      </c>
      <c r="K60" s="59">
        <f>SUM(K55,K56,K57,K58,K59)-K59</f>
        <v>42406.86014111984</v>
      </c>
      <c r="L60" s="61"/>
      <c r="M60" s="22"/>
    </row>
    <row r="61" spans="1:13" ht="16.2" thickBot="1" x14ac:dyDescent="0.35">
      <c r="A61" s="68" t="s">
        <v>46</v>
      </c>
      <c r="B61" s="68">
        <f>B49+B50+B51+B54+B52+B53</f>
        <v>9297.17</v>
      </c>
      <c r="C61" s="68">
        <f>C49+C50+C51+C54+C52+C53</f>
        <v>11718.060000000001</v>
      </c>
      <c r="D61" s="68">
        <f>D49+D50+D51+D54+D52+D53</f>
        <v>12736</v>
      </c>
      <c r="E61" s="68">
        <f>E49+E50+E51+E54+E52+E53</f>
        <v>13521</v>
      </c>
      <c r="F61" s="68">
        <f>F49+F50+F51+F54+F52+F53</f>
        <v>14897</v>
      </c>
      <c r="G61" s="68">
        <f>G49+G50+G51+G54+G52+G53</f>
        <v>20481.782459679594</v>
      </c>
      <c r="H61" s="68">
        <f>H49+H50+H51+H54+H52+H53</f>
        <v>26702.109469831357</v>
      </c>
      <c r="I61" s="68">
        <f>I49+I50+I51+I54+I52+I53</f>
        <v>33580.58800275698</v>
      </c>
      <c r="J61" s="68">
        <f>J49+J50+J51+J54+J52+J53</f>
        <v>41248.10959048252</v>
      </c>
      <c r="K61" s="68">
        <f>K49+K50+K51+K54+K52+K53</f>
        <v>49815.485860435481</v>
      </c>
      <c r="L61" s="61"/>
    </row>
    <row r="62" spans="1:13" ht="16.2" thickBot="1" x14ac:dyDescent="0.35">
      <c r="A62" s="75"/>
      <c r="B62" s="63"/>
      <c r="C62" s="63"/>
      <c r="D62" s="63"/>
      <c r="E62" s="63"/>
      <c r="F62" s="63"/>
      <c r="G62" s="76"/>
      <c r="H62" s="76"/>
      <c r="I62" s="76"/>
      <c r="J62" s="76"/>
      <c r="K62" s="76"/>
      <c r="L62" s="62"/>
    </row>
    <row r="63" spans="1:13" ht="16.2" thickBot="1" x14ac:dyDescent="0.35">
      <c r="A63" s="75" t="s">
        <v>537</v>
      </c>
      <c r="B63" s="63">
        <f>B61-B47</f>
        <v>0</v>
      </c>
      <c r="C63" s="63">
        <f>C61-C47</f>
        <v>0</v>
      </c>
      <c r="D63" s="63">
        <f>D61-D47</f>
        <v>0</v>
      </c>
      <c r="E63" s="63">
        <f>E61-E47</f>
        <v>0</v>
      </c>
      <c r="F63" s="63">
        <f>F61-F47</f>
        <v>0</v>
      </c>
      <c r="G63" s="63">
        <f>G61-G47</f>
        <v>5.4026443467591889E-4</v>
      </c>
      <c r="H63" s="63">
        <f>H61-H47</f>
        <v>-6.6211030254635261E-2</v>
      </c>
      <c r="I63" s="63">
        <f>I61-I47</f>
        <v>-0.20162939082365483</v>
      </c>
      <c r="J63" s="63">
        <f>J61-J47</f>
        <v>-0.44026935732836137</v>
      </c>
      <c r="K63" s="63">
        <f>K61-K47</f>
        <v>-0.78449929594353307</v>
      </c>
      <c r="L63" s="62"/>
    </row>
    <row r="64" spans="1:13" ht="16.2" thickBot="1" x14ac:dyDescent="0.35">
      <c r="A64" s="77" t="s">
        <v>289</v>
      </c>
      <c r="B64" s="72"/>
      <c r="C64" s="72"/>
      <c r="D64" s="72"/>
      <c r="E64" s="72"/>
      <c r="F64" s="72"/>
      <c r="G64" s="78"/>
      <c r="H64" s="78"/>
      <c r="I64" s="78"/>
      <c r="J64" s="78"/>
      <c r="K64" s="78"/>
      <c r="L64" s="62"/>
    </row>
    <row r="65" spans="1:12" ht="16.2" thickBot="1" x14ac:dyDescent="0.35">
      <c r="A65" s="75"/>
      <c r="B65" s="72"/>
      <c r="C65" s="72"/>
      <c r="D65" s="72"/>
      <c r="E65" s="72"/>
      <c r="F65" s="72"/>
      <c r="G65" s="78"/>
      <c r="H65" s="78"/>
      <c r="I65" s="78"/>
      <c r="J65" s="78"/>
      <c r="K65" s="78"/>
      <c r="L65" s="62"/>
    </row>
    <row r="66" spans="1:12" ht="33.6" customHeight="1" thickBot="1" x14ac:dyDescent="0.35">
      <c r="A66" s="71" t="s">
        <v>187</v>
      </c>
      <c r="B66" s="55" t="s">
        <v>211</v>
      </c>
      <c r="C66" s="55" t="s">
        <v>212</v>
      </c>
      <c r="D66" s="55" t="s">
        <v>522</v>
      </c>
      <c r="E66" s="55" t="s">
        <v>523</v>
      </c>
      <c r="F66" s="55" t="s">
        <v>524</v>
      </c>
      <c r="G66" s="55" t="s">
        <v>213</v>
      </c>
      <c r="H66" s="55" t="s">
        <v>214</v>
      </c>
      <c r="I66" s="55" t="s">
        <v>525</v>
      </c>
      <c r="J66" s="55" t="s">
        <v>526</v>
      </c>
      <c r="K66" s="55" t="s">
        <v>527</v>
      </c>
      <c r="L66" s="56" t="s">
        <v>277</v>
      </c>
    </row>
    <row r="67" spans="1:12" ht="16.2" thickBot="1" x14ac:dyDescent="0.35">
      <c r="A67" s="58" t="s">
        <v>291</v>
      </c>
      <c r="B67" s="63"/>
      <c r="C67" s="63"/>
      <c r="D67" s="63"/>
      <c r="E67" s="63"/>
      <c r="F67" s="63"/>
      <c r="G67" s="60">
        <f>G18</f>
        <v>7463.093221369415</v>
      </c>
      <c r="H67" s="60">
        <f>H18</f>
        <v>8312.4782999872386</v>
      </c>
      <c r="I67" s="60">
        <f>I18</f>
        <v>9192.0755175408831</v>
      </c>
      <c r="J67" s="60">
        <f>J18</f>
        <v>10246.632760973976</v>
      </c>
      <c r="K67" s="60">
        <f>K18</f>
        <v>11449.273706290862</v>
      </c>
      <c r="L67" s="61"/>
    </row>
    <row r="68" spans="1:12" ht="16.2" thickBot="1" x14ac:dyDescent="0.35">
      <c r="A68" s="58" t="s">
        <v>292</v>
      </c>
      <c r="B68" s="63"/>
      <c r="C68" s="63"/>
      <c r="D68" s="63"/>
      <c r="E68" s="63"/>
      <c r="F68" s="63"/>
      <c r="G68" s="60">
        <f>G15</f>
        <v>446.69800165199348</v>
      </c>
      <c r="H68" s="60">
        <f>H15</f>
        <v>493.46752817393485</v>
      </c>
      <c r="I68" s="60">
        <f>I15</f>
        <v>545.19100597732108</v>
      </c>
      <c r="J68" s="60">
        <f>J15</f>
        <v>595.92882165329229</v>
      </c>
      <c r="K68" s="60">
        <f>K15</f>
        <v>658.35324330725996</v>
      </c>
      <c r="L68" s="61"/>
    </row>
    <row r="69" spans="1:12" ht="16.2" thickBot="1" x14ac:dyDescent="0.35">
      <c r="A69" s="58" t="s">
        <v>293</v>
      </c>
      <c r="B69" s="63"/>
      <c r="C69" s="63"/>
      <c r="D69" s="63"/>
      <c r="E69" s="63"/>
      <c r="F69" s="63"/>
      <c r="G69" s="60">
        <f>G17</f>
        <v>2.9934136078379168</v>
      </c>
      <c r="H69" s="60">
        <f>H17</f>
        <v>3.390090563002039</v>
      </c>
      <c r="I69" s="60">
        <f>I17</f>
        <v>4.0323348690148837</v>
      </c>
      <c r="J69" s="60">
        <f>J17</f>
        <v>4.6440805809380299</v>
      </c>
      <c r="K69" s="60">
        <f>K17</f>
        <v>4.563867140485832</v>
      </c>
      <c r="L69" s="61"/>
    </row>
    <row r="70" spans="1:12" ht="16.2" thickBot="1" x14ac:dyDescent="0.35">
      <c r="A70" s="58" t="s">
        <v>294</v>
      </c>
      <c r="B70" s="63"/>
      <c r="C70" s="63"/>
      <c r="D70" s="63"/>
      <c r="E70" s="63"/>
      <c r="F70" s="63"/>
      <c r="G70" s="60">
        <f>SUM(G67:G69)</f>
        <v>7912.784636629247</v>
      </c>
      <c r="H70" s="60">
        <f t="shared" ref="H70:K70" si="24">SUM(H67:H69)</f>
        <v>8809.3359187241749</v>
      </c>
      <c r="I70" s="60">
        <f t="shared" si="24"/>
        <v>9741.2988583872193</v>
      </c>
      <c r="J70" s="60">
        <f t="shared" si="24"/>
        <v>10847.205663208208</v>
      </c>
      <c r="K70" s="60">
        <f t="shared" si="24"/>
        <v>12112.190816738606</v>
      </c>
      <c r="L70" s="61"/>
    </row>
    <row r="71" spans="1:12" ht="16.2" thickBot="1" x14ac:dyDescent="0.35">
      <c r="A71" s="58" t="s">
        <v>295</v>
      </c>
      <c r="B71" s="76"/>
      <c r="C71" s="76"/>
      <c r="D71" s="76"/>
      <c r="E71" s="76"/>
      <c r="F71" s="76"/>
      <c r="G71" s="60"/>
      <c r="H71" s="60"/>
      <c r="I71" s="60"/>
      <c r="J71" s="60"/>
      <c r="K71" s="60"/>
      <c r="L71" s="61"/>
    </row>
    <row r="72" spans="1:12" ht="16.2" thickBot="1" x14ac:dyDescent="0.35">
      <c r="A72" s="58" t="s">
        <v>97</v>
      </c>
      <c r="B72" s="63"/>
      <c r="C72" s="63"/>
      <c r="D72" s="63"/>
      <c r="E72" s="63"/>
      <c r="F72" s="63"/>
      <c r="G72" s="60">
        <f>F55-G55</f>
        <v>-430.51572426480379</v>
      </c>
      <c r="H72" s="60">
        <f>G55-H55</f>
        <v>-475.84087392998208</v>
      </c>
      <c r="I72" s="60">
        <f>H55-I55</f>
        <v>-555.93457792290337</v>
      </c>
      <c r="J72" s="60">
        <f>I55-J55</f>
        <v>-467.56459619173711</v>
      </c>
      <c r="K72" s="60">
        <f>J55-K55</f>
        <v>-438.55628486352998</v>
      </c>
      <c r="L72" s="61"/>
    </row>
    <row r="73" spans="1:12" ht="16.2" thickBot="1" x14ac:dyDescent="0.35">
      <c r="A73" s="79" t="s">
        <v>172</v>
      </c>
      <c r="B73" s="63"/>
      <c r="C73" s="63"/>
      <c r="D73" s="63"/>
      <c r="E73" s="63"/>
      <c r="F73" s="63"/>
      <c r="G73" s="60">
        <f>F56-G56</f>
        <v>-32.054147661335264</v>
      </c>
      <c r="H73" s="60">
        <f>G56-H56</f>
        <v>-382.62563023142275</v>
      </c>
      <c r="I73" s="60">
        <f>H56-I56</f>
        <v>-362.31738995911292</v>
      </c>
      <c r="J73" s="60">
        <f>I56-J56</f>
        <v>-490.93049964983084</v>
      </c>
      <c r="K73" s="60">
        <f>J56-K56</f>
        <v>-451.56041644518427</v>
      </c>
      <c r="L73" s="61"/>
    </row>
    <row r="74" spans="1:12" ht="16.2" thickBot="1" x14ac:dyDescent="0.35">
      <c r="A74" s="79" t="s">
        <v>182</v>
      </c>
      <c r="B74" s="63"/>
      <c r="C74" s="63"/>
      <c r="D74" s="63"/>
      <c r="E74" s="63"/>
      <c r="F74" s="63"/>
      <c r="G74" s="60">
        <f>-(F59-G59)</f>
        <v>-51.683580303699387</v>
      </c>
      <c r="H74" s="60">
        <f>-(G59-H59)</f>
        <v>54.96613037828763</v>
      </c>
      <c r="I74" s="60">
        <f>-(H59-I59)</f>
        <v>62.489743148075888</v>
      </c>
      <c r="J74" s="60">
        <f>-(I59-J59)</f>
        <v>71.366241843593343</v>
      </c>
      <c r="K74" s="60">
        <f>-(J59-K59)</f>
        <v>38.828286115834942</v>
      </c>
      <c r="L74" s="61"/>
    </row>
    <row r="75" spans="1:12" ht="16.2" thickBot="1" x14ac:dyDescent="0.35">
      <c r="A75" s="79" t="s">
        <v>209</v>
      </c>
      <c r="B75" s="63"/>
      <c r="C75" s="63"/>
      <c r="D75" s="63"/>
      <c r="E75" s="63"/>
      <c r="F75" s="63"/>
      <c r="G75" s="60">
        <f>G43-F43</f>
        <v>146.09219059476709</v>
      </c>
      <c r="H75" s="60">
        <f>H43-G43</f>
        <v>142.19595509532837</v>
      </c>
      <c r="I75" s="60">
        <f>I43-H43</f>
        <v>221.43466342054944</v>
      </c>
      <c r="J75" s="60">
        <f>J43-I43</f>
        <v>230.80268959398336</v>
      </c>
      <c r="K75" s="60">
        <f>K43-J43</f>
        <v>210.14399820207791</v>
      </c>
      <c r="L75" s="61"/>
    </row>
    <row r="76" spans="1:12" ht="16.2" thickBot="1" x14ac:dyDescent="0.35">
      <c r="A76" s="79" t="s">
        <v>296</v>
      </c>
      <c r="B76" s="63"/>
      <c r="C76" s="63"/>
      <c r="D76" s="63"/>
      <c r="E76" s="63"/>
      <c r="F76" s="63"/>
      <c r="G76" s="60">
        <f>SUM(G72:G75)</f>
        <v>-368.16126163507136</v>
      </c>
      <c r="H76" s="60">
        <f>SUM(H72:H75)</f>
        <v>-661.30441868778883</v>
      </c>
      <c r="I76" s="60">
        <f>SUM(I72:I75)</f>
        <v>-634.32756131339102</v>
      </c>
      <c r="J76" s="60">
        <f>SUM(J72:J75)</f>
        <v>-656.32616440399124</v>
      </c>
      <c r="K76" s="60">
        <f>SUM(K72:K75)</f>
        <v>-641.14441699080135</v>
      </c>
      <c r="L76" s="61"/>
    </row>
    <row r="77" spans="1:12" ht="16.2" thickBot="1" x14ac:dyDescent="0.35">
      <c r="A77" s="79" t="s">
        <v>297</v>
      </c>
      <c r="B77" s="63"/>
      <c r="C77" s="63"/>
      <c r="D77" s="63"/>
      <c r="E77" s="63"/>
      <c r="F77" s="63"/>
      <c r="G77" s="60">
        <f>-G20</f>
        <v>-1878.3113019542545</v>
      </c>
      <c r="H77" s="60">
        <f>-H20</f>
        <v>-2092.0845385407883</v>
      </c>
      <c r="I77" s="60">
        <f>-I20</f>
        <v>-2313.4615662546894</v>
      </c>
      <c r="J77" s="60">
        <f>-J20</f>
        <v>-2578.8725332819304</v>
      </c>
      <c r="K77" s="60">
        <f>-K20</f>
        <v>-2881.5532063992841</v>
      </c>
      <c r="L77" s="61"/>
    </row>
    <row r="78" spans="1:12" ht="16.2" thickBot="1" x14ac:dyDescent="0.35">
      <c r="A78" s="79" t="s">
        <v>298</v>
      </c>
      <c r="B78" s="76"/>
      <c r="C78" s="63"/>
      <c r="D78" s="63"/>
      <c r="E78" s="63"/>
      <c r="F78" s="63"/>
      <c r="G78" s="60">
        <f>G70+G76+G77</f>
        <v>5666.3120730399214</v>
      </c>
      <c r="H78" s="60">
        <f>H70+H76+H77</f>
        <v>6055.9469614955979</v>
      </c>
      <c r="I78" s="60">
        <f>I70+I76+I77</f>
        <v>6793.5097308191398</v>
      </c>
      <c r="J78" s="60">
        <f>J70+J76+J77</f>
        <v>7612.0069655222869</v>
      </c>
      <c r="K78" s="60">
        <f>K70+K76+K77</f>
        <v>8589.4931933485204</v>
      </c>
      <c r="L78" s="61"/>
    </row>
    <row r="79" spans="1:12" ht="16.2" thickBot="1" x14ac:dyDescent="0.35">
      <c r="A79" s="58"/>
      <c r="B79" s="76"/>
      <c r="C79" s="76"/>
      <c r="D79" s="76"/>
      <c r="E79" s="76"/>
      <c r="F79" s="76"/>
      <c r="G79" s="60"/>
      <c r="H79" s="60"/>
      <c r="I79" s="60"/>
      <c r="J79" s="60"/>
      <c r="K79" s="60"/>
      <c r="L79" s="61"/>
    </row>
    <row r="80" spans="1:12" ht="16.2" thickBot="1" x14ac:dyDescent="0.35">
      <c r="A80" s="79" t="s">
        <v>171</v>
      </c>
      <c r="B80" s="63"/>
      <c r="C80" s="63"/>
      <c r="D80" s="63"/>
      <c r="E80" s="63"/>
      <c r="F80" s="63"/>
      <c r="G80" s="60">
        <f>-'PPE '!G6</f>
        <v>-1041.262780000216</v>
      </c>
      <c r="H80" s="60">
        <f>-'PPE '!H6</f>
        <v>-1083.4339892596222</v>
      </c>
      <c r="I80" s="60">
        <f>-'PPE '!I6</f>
        <v>-1179.6322344414727</v>
      </c>
      <c r="J80" s="60">
        <f>-'PPE '!J6</f>
        <v>-1301.4080031312467</v>
      </c>
      <c r="K80" s="60">
        <f>-'PPE '!K6</f>
        <v>-1575.1968101535913</v>
      </c>
      <c r="L80" s="61"/>
    </row>
    <row r="81" spans="1:12" ht="16.2" thickBot="1" x14ac:dyDescent="0.35">
      <c r="A81" s="79" t="s">
        <v>299</v>
      </c>
      <c r="B81" s="63"/>
      <c r="C81" s="63"/>
      <c r="D81" s="63"/>
      <c r="E81" s="63"/>
      <c r="F81" s="63"/>
      <c r="G81" s="60">
        <f>G80</f>
        <v>-1041.262780000216</v>
      </c>
      <c r="H81" s="60">
        <f t="shared" ref="H81:K81" si="25">H80</f>
        <v>-1083.4339892596222</v>
      </c>
      <c r="I81" s="60">
        <f t="shared" si="25"/>
        <v>-1179.6322344414727</v>
      </c>
      <c r="J81" s="60">
        <f t="shared" si="25"/>
        <v>-1301.4080031312467</v>
      </c>
      <c r="K81" s="60">
        <f t="shared" si="25"/>
        <v>-1575.1968101535913</v>
      </c>
      <c r="L81" s="61"/>
    </row>
    <row r="82" spans="1:12" ht="16.2" thickBot="1" x14ac:dyDescent="0.35">
      <c r="A82" s="58"/>
      <c r="B82" s="76"/>
      <c r="C82" s="76"/>
      <c r="D82" s="76"/>
      <c r="E82" s="76"/>
      <c r="F82" s="76"/>
      <c r="G82" s="60"/>
      <c r="H82" s="60"/>
      <c r="I82" s="60"/>
      <c r="J82" s="60"/>
      <c r="K82" s="60"/>
      <c r="L82" s="61"/>
    </row>
    <row r="83" spans="1:12" ht="16.2" thickBot="1" x14ac:dyDescent="0.35">
      <c r="A83" s="79" t="s">
        <v>300</v>
      </c>
      <c r="B83" s="63"/>
      <c r="C83" s="63"/>
      <c r="D83" s="63"/>
      <c r="E83" s="63"/>
      <c r="F83" s="63"/>
      <c r="G83" s="60">
        <f>-G17</f>
        <v>-2.9934136078379168</v>
      </c>
      <c r="H83" s="60">
        <f>-H17</f>
        <v>-3.390090563002039</v>
      </c>
      <c r="I83" s="60">
        <f>-I17</f>
        <v>-4.0323348690148837</v>
      </c>
      <c r="J83" s="60">
        <f>-J17</f>
        <v>-4.6440805809380299</v>
      </c>
      <c r="K83" s="60">
        <f>-K17</f>
        <v>-4.563867140485832</v>
      </c>
      <c r="L83" s="61"/>
    </row>
    <row r="84" spans="1:12" ht="16.2" thickBot="1" x14ac:dyDescent="0.35">
      <c r="A84" s="79" t="s">
        <v>150</v>
      </c>
      <c r="B84" s="63"/>
      <c r="C84" s="63"/>
      <c r="D84" s="63"/>
      <c r="E84" s="63"/>
      <c r="F84" s="63"/>
      <c r="G84" s="60">
        <f>-F24</f>
        <v>0</v>
      </c>
      <c r="H84" s="60">
        <f>-G24</f>
        <v>0</v>
      </c>
      <c r="I84" s="60">
        <f>-H24</f>
        <v>0</v>
      </c>
      <c r="J84" s="60">
        <f>-I24</f>
        <v>0</v>
      </c>
      <c r="K84" s="60">
        <f>-J24</f>
        <v>0</v>
      </c>
      <c r="L84" s="61"/>
    </row>
    <row r="85" spans="1:12" ht="16.2" thickBot="1" x14ac:dyDescent="0.35">
      <c r="A85" s="79" t="s">
        <v>301</v>
      </c>
      <c r="B85" s="63"/>
      <c r="C85" s="63"/>
      <c r="D85" s="63"/>
      <c r="E85" s="63"/>
      <c r="F85" s="63"/>
      <c r="G85" s="60">
        <f>SUM(G83:G84)</f>
        <v>-2.9934136078379168</v>
      </c>
      <c r="H85" s="60">
        <f t="shared" ref="H85:K85" si="26">SUM(H83:H84)</f>
        <v>-3.390090563002039</v>
      </c>
      <c r="I85" s="60">
        <f t="shared" si="26"/>
        <v>-4.0323348690148837</v>
      </c>
      <c r="J85" s="60">
        <f t="shared" si="26"/>
        <v>-4.6440805809380299</v>
      </c>
      <c r="K85" s="60">
        <f t="shared" si="26"/>
        <v>-4.563867140485832</v>
      </c>
      <c r="L85" s="61"/>
    </row>
    <row r="86" spans="1:12" ht="16.2" thickBot="1" x14ac:dyDescent="0.35">
      <c r="A86" s="58"/>
      <c r="B86" s="76"/>
      <c r="C86" s="76"/>
      <c r="D86" s="76"/>
      <c r="E86" s="76"/>
      <c r="F86" s="76"/>
      <c r="G86" s="60"/>
      <c r="H86" s="60"/>
      <c r="I86" s="60"/>
      <c r="J86" s="60"/>
      <c r="K86" s="60"/>
      <c r="L86" s="61"/>
    </row>
    <row r="87" spans="1:12" ht="16.2" thickBot="1" x14ac:dyDescent="0.35">
      <c r="A87" s="79" t="s">
        <v>302</v>
      </c>
      <c r="B87" s="63"/>
      <c r="C87" s="63"/>
      <c r="D87" s="63"/>
      <c r="E87" s="63"/>
      <c r="F87" s="63"/>
      <c r="G87" s="60">
        <f>G78+G81+G85</f>
        <v>4622.0558794318667</v>
      </c>
      <c r="H87" s="60">
        <f>H78+H81+H85</f>
        <v>4969.1228816729745</v>
      </c>
      <c r="I87" s="60">
        <f>I78+I81+I85</f>
        <v>5609.8451615086524</v>
      </c>
      <c r="J87" s="60">
        <f>J78+J81+J85</f>
        <v>6305.9548818101021</v>
      </c>
      <c r="K87" s="60">
        <f>K78+K81+K85</f>
        <v>7009.7325160544433</v>
      </c>
      <c r="L87" s="61"/>
    </row>
    <row r="88" spans="1:12" ht="16.2" thickBot="1" x14ac:dyDescent="0.35">
      <c r="A88" s="79" t="s">
        <v>303</v>
      </c>
      <c r="B88" s="63"/>
      <c r="C88" s="63"/>
      <c r="D88" s="63"/>
      <c r="E88" s="63"/>
      <c r="F88" s="63"/>
      <c r="G88" s="60">
        <f>F57</f>
        <v>3696</v>
      </c>
      <c r="H88" s="60">
        <f>G89</f>
        <v>8369.74</v>
      </c>
      <c r="I88" s="60">
        <f>H89</f>
        <v>13283.83</v>
      </c>
      <c r="J88" s="60">
        <f>I89</f>
        <v>18831.05</v>
      </c>
      <c r="K88" s="60">
        <f>J89</f>
        <v>25065.4</v>
      </c>
      <c r="L88" s="61"/>
    </row>
    <row r="89" spans="1:12" ht="16.2" thickBot="1" x14ac:dyDescent="0.35">
      <c r="A89" s="71" t="s">
        <v>304</v>
      </c>
      <c r="B89" s="80"/>
      <c r="C89" s="80"/>
      <c r="D89" s="80"/>
      <c r="E89" s="80"/>
      <c r="F89" s="80"/>
      <c r="G89" s="80">
        <f>G57</f>
        <v>8369.74</v>
      </c>
      <c r="H89" s="80">
        <f>H57</f>
        <v>13283.83</v>
      </c>
      <c r="I89" s="80">
        <f>I57</f>
        <v>18831.05</v>
      </c>
      <c r="J89" s="80">
        <f>J57</f>
        <v>25065.4</v>
      </c>
      <c r="K89" s="80">
        <f>K57</f>
        <v>32035.96</v>
      </c>
      <c r="L89" s="61"/>
    </row>
    <row r="90" spans="1:12" x14ac:dyDescent="0.3">
      <c r="G90" s="28">
        <f>G89-G57</f>
        <v>0</v>
      </c>
      <c r="H90" s="28">
        <f>H89-H57</f>
        <v>0</v>
      </c>
      <c r="I90" s="28">
        <f>I89-I57</f>
        <v>0</v>
      </c>
      <c r="J90" s="28">
        <f>J89-J57</f>
        <v>0</v>
      </c>
      <c r="K90" s="28">
        <f>K89-K57</f>
        <v>0</v>
      </c>
    </row>
  </sheetData>
  <mergeCells count="2">
    <mergeCell ref="B1:F1"/>
    <mergeCell ref="G1:K1"/>
  </mergeCells>
  <pageMargins left="0.7" right="0.7" top="0.75" bottom="0.75" header="0.3" footer="0.3"/>
  <pageSetup orientation="portrait" r:id="rId1"/>
  <ignoredErrors>
    <ignoredError sqref="H43:I43 J43:K43 H32" formula="1"/>
  </ignoredErrors>
  <extLst>
    <ext xmlns:x14="http://schemas.microsoft.com/office/spreadsheetml/2009/9/main" uri="{05C60535-1F16-4fd2-B633-F4F36F0B64E0}">
      <x14:sparklineGroups xmlns:xm="http://schemas.microsoft.com/office/excel/2006/main">
        <x14:sparklineGroup type="column" displayEmptyCellsAs="gap" xr2:uid="{8DA2B747-A8D3-4326-B7D0-EEDF00D58BD5}">
          <x14:colorSeries rgb="FF000000"/>
          <x14:colorNegative rgb="FF0070C0"/>
          <x14:colorAxis rgb="FF000000"/>
          <x14:colorMarkers rgb="FF0070C0"/>
          <x14:colorFirst rgb="FF0070C0"/>
          <x14:colorLast rgb="FF0070C0"/>
          <x14:colorHigh rgb="FF0070C0"/>
          <x14:colorLow rgb="FF0070C0"/>
          <x14:sparklines>
            <x14:sparkline>
              <xm:f>'Financial Statements'!G89:K89</xm:f>
              <xm:sqref>L89</xm:sqref>
            </x14:sparkline>
          </x14:sparklines>
        </x14:sparklineGroup>
        <x14:sparklineGroup type="column" displayEmptyCellsAs="gap" xr2:uid="{556E4823-2E66-4539-9F47-F58958FC8293}">
          <x14:colorSeries rgb="FF000000"/>
          <x14:colorNegative rgb="FF0070C0"/>
          <x14:colorAxis rgb="FF000000"/>
          <x14:colorMarkers rgb="FF0070C0"/>
          <x14:colorFirst rgb="FF0070C0"/>
          <x14:colorLast rgb="FF0070C0"/>
          <x14:colorHigh rgb="FF0070C0"/>
          <x14:colorLow rgb="FF0070C0"/>
          <x14:sparklines>
            <x14:sparkline>
              <xm:f>'Financial Statements'!B18:K18</xm:f>
              <xm:sqref>L18</xm:sqref>
            </x14:sparkline>
          </x14:sparklines>
        </x14:sparklineGroup>
        <x14:sparklineGroup type="column" displayEmptyCellsAs="gap" xr2:uid="{33DAD392-BDC2-4B67-8943-14BE70308AFC}">
          <x14:colorSeries rgb="FF000000"/>
          <x14:colorNegative rgb="FF0070C0"/>
          <x14:colorAxis rgb="FF000000"/>
          <x14:colorMarkers rgb="FF0070C0"/>
          <x14:colorFirst rgb="FF0070C0"/>
          <x14:colorLast rgb="FF0070C0"/>
          <x14:colorHigh rgb="FF0070C0"/>
          <x14:colorLow rgb="FF0070C0"/>
          <x14:sparklines>
            <x14:sparkline>
              <xm:f>'Financial Statements'!B16:K16</xm:f>
              <xm:sqref>L16</xm:sqref>
            </x14:sparkline>
          </x14:sparklines>
        </x14:sparklineGroup>
        <x14:sparklineGroup type="column" displayEmptyCellsAs="gap" xr2:uid="{3DC96555-83B6-4309-A846-81E5CFBF5212}">
          <x14:colorSeries rgb="FF000000"/>
          <x14:colorNegative rgb="FF0070C0"/>
          <x14:colorAxis rgb="FF000000"/>
          <x14:colorMarkers rgb="FF0070C0"/>
          <x14:colorFirst rgb="FF0070C0"/>
          <x14:colorLast rgb="FF0070C0"/>
          <x14:colorHigh rgb="FF0070C0"/>
          <x14:colorLow rgb="FF0070C0"/>
          <x14:sparklines>
            <x14:sparkline>
              <xm:f>'Financial Statements'!B14:K14</xm:f>
              <xm:sqref>L14</xm:sqref>
            </x14:sparkline>
          </x14:sparklines>
        </x14:sparklineGroup>
        <x14:sparklineGroup type="column" displayEmptyCellsAs="gap" xr2:uid="{B914091A-5AC6-4F39-A9E2-7659C7D6C5C6}">
          <x14:colorSeries rgb="FF000000"/>
          <x14:colorNegative rgb="FF0070C0"/>
          <x14:colorAxis rgb="FF000000"/>
          <x14:colorMarkers rgb="FF0070C0"/>
          <x14:colorFirst rgb="FF0070C0"/>
          <x14:colorLast rgb="FF0070C0"/>
          <x14:colorHigh rgb="FF0070C0"/>
          <x14:colorLow rgb="FF0070C0"/>
          <x14:sparklines>
            <x14:sparkline>
              <xm:f>'Financial Statements'!B11:K11</xm:f>
              <xm:sqref>L11</xm:sqref>
            </x14:sparkline>
          </x14:sparklines>
        </x14:sparklineGroup>
        <x14:sparklineGroup type="column" displayEmptyCellsAs="gap" xr2:uid="{4A2A7648-33C4-4D73-BCCB-88D4E3391E6E}">
          <x14:colorSeries rgb="FF000000"/>
          <x14:colorNegative rgb="FF0070C0"/>
          <x14:colorAxis rgb="FF000000"/>
          <x14:colorMarkers rgb="FF0070C0"/>
          <x14:colorFirst rgb="FF0070C0"/>
          <x14:colorLast rgb="FF0070C0"/>
          <x14:colorHigh rgb="FF0070C0"/>
          <x14:colorLow rgb="FF0070C0"/>
          <x14:sparklines>
            <x14:sparkline>
              <xm:f>'Financial Statements'!B9:K9</xm:f>
              <xm:sqref>L9</xm:sqref>
            </x14:sparkline>
          </x14:sparklines>
        </x14:sparklineGroup>
        <x14:sparklineGroup type="column" displayEmptyCellsAs="gap" xr2:uid="{C9D4106E-27B9-49FE-9D7A-31E459CF2433}">
          <x14:colorSeries rgb="FF000000"/>
          <x14:colorNegative rgb="FF0070C0"/>
          <x14:colorAxis rgb="FF000000"/>
          <x14:colorMarkers rgb="FF0070C0"/>
          <x14:colorFirst rgb="FF0070C0"/>
          <x14:colorLast rgb="FF0070C0"/>
          <x14:colorHigh rgb="FF0070C0"/>
          <x14:colorLow rgb="FF0070C0"/>
          <x14:sparklines>
            <x14:sparkline>
              <xm:f>'Financial Statements'!G85:K85</xm:f>
              <xm:sqref>L85</xm:sqref>
            </x14:sparkline>
          </x14:sparklines>
        </x14:sparklineGroup>
        <x14:sparklineGroup type="column" displayEmptyCellsAs="gap" xr2:uid="{8A212148-1485-4801-BF29-724714EF7DA4}">
          <x14:colorSeries rgb="FF000000"/>
          <x14:colorNegative rgb="FF0070C0"/>
          <x14:colorAxis rgb="FF000000"/>
          <x14:colorMarkers rgb="FF0070C0"/>
          <x14:colorFirst rgb="FF0070C0"/>
          <x14:colorLast rgb="FF0070C0"/>
          <x14:colorHigh rgb="FF0070C0"/>
          <x14:colorLow rgb="FF0070C0"/>
          <x14:sparklines>
            <x14:sparkline>
              <xm:f>'Financial Statements'!G81:K81</xm:f>
              <xm:sqref>L81</xm:sqref>
            </x14:sparkline>
          </x14:sparklines>
        </x14:sparklineGroup>
        <x14:sparklineGroup type="column" displayEmptyCellsAs="gap" xr2:uid="{D613C8A6-49A7-4B08-9756-A9E5EC477EB7}">
          <x14:colorSeries rgb="FF000000"/>
          <x14:colorNegative rgb="FF0070C0"/>
          <x14:colorAxis rgb="FF000000"/>
          <x14:colorMarkers rgb="FF0070C0"/>
          <x14:colorFirst rgb="FF0070C0"/>
          <x14:colorLast rgb="FF0070C0"/>
          <x14:colorHigh rgb="FF0070C0"/>
          <x14:colorLow rgb="FF0070C0"/>
          <x14:sparklines>
            <x14:sparkline>
              <xm:f>'Financial Statements'!G78:K78</xm:f>
              <xm:sqref>L78</xm:sqref>
            </x14:sparkline>
          </x14:sparklines>
        </x14:sparklineGroup>
        <x14:sparklineGroup type="column" displayEmptyCellsAs="gap" xr2:uid="{308F1D7A-9FE1-4D5E-8063-6EEC142BB465}">
          <x14:colorSeries rgb="FF000000"/>
          <x14:colorNegative rgb="FF0070C0"/>
          <x14:colorAxis rgb="FF000000"/>
          <x14:colorMarkers rgb="FF0070C0"/>
          <x14:colorFirst rgb="FF0070C0"/>
          <x14:colorLast rgb="FF0070C0"/>
          <x14:colorHigh rgb="FF0070C0"/>
          <x14:colorLow rgb="FF0070C0"/>
          <x14:sparklines>
            <x14:sparkline>
              <xm:f>'Financial Statements'!B22:K22</xm:f>
              <xm:sqref>L22</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B50E-4AD4-4907-93E0-58A046248F74}">
  <dimension ref="A1:Z15"/>
  <sheetViews>
    <sheetView showGridLines="0" workbookViewId="0">
      <selection activeCell="E16" sqref="E16"/>
    </sheetView>
  </sheetViews>
  <sheetFormatPr defaultColWidth="8.6640625" defaultRowHeight="15.6" x14ac:dyDescent="0.3"/>
  <cols>
    <col min="1" max="1" width="20.21875" style="124" customWidth="1"/>
    <col min="2" max="2" width="9.77734375" style="115" bestFit="1" customWidth="1"/>
    <col min="3" max="3" width="12.33203125" style="115" customWidth="1"/>
    <col min="4" max="4" width="13.109375" style="115" customWidth="1"/>
    <col min="5" max="5" width="15" style="115" customWidth="1"/>
    <col min="6" max="6" width="16" style="115" customWidth="1"/>
    <col min="7" max="7" width="19.109375" style="115" customWidth="1"/>
    <col min="8" max="8" width="14.109375" style="115" customWidth="1"/>
    <col min="9" max="9" width="17.44140625" style="115" customWidth="1"/>
    <col min="10" max="10" width="12.88671875" style="115" customWidth="1"/>
    <col min="11" max="11" width="14.5546875" style="115" customWidth="1"/>
    <col min="12" max="16384" width="8.6640625" style="115"/>
  </cols>
  <sheetData>
    <row r="1" spans="1:26" s="112" customFormat="1" x14ac:dyDescent="0.3">
      <c r="A1" s="109" t="s">
        <v>306</v>
      </c>
      <c r="B1" s="41" t="s">
        <v>273</v>
      </c>
      <c r="C1" s="41"/>
      <c r="D1" s="41"/>
      <c r="E1" s="41"/>
      <c r="F1" s="41"/>
      <c r="G1" s="110" t="str">
        <f>'[1]Financial Statements'!G1:K1</f>
        <v>FORECASTED PERIOD</v>
      </c>
      <c r="H1" s="41"/>
      <c r="I1" s="41"/>
      <c r="J1" s="41"/>
      <c r="K1" s="41"/>
      <c r="L1" s="111"/>
      <c r="M1" s="15"/>
    </row>
    <row r="2" spans="1:26" x14ac:dyDescent="0.3">
      <c r="A2" s="113"/>
      <c r="B2" s="114"/>
      <c r="C2" s="114"/>
      <c r="D2" s="114"/>
      <c r="E2" s="114"/>
      <c r="F2" s="114"/>
      <c r="G2" s="114"/>
      <c r="H2" s="114"/>
      <c r="I2" s="114"/>
      <c r="J2" s="114"/>
      <c r="K2" s="114"/>
    </row>
    <row r="3" spans="1:26" ht="31.8" thickBot="1" x14ac:dyDescent="0.35">
      <c r="A3" s="54" t="s">
        <v>184</v>
      </c>
      <c r="B3" s="55" t="s">
        <v>211</v>
      </c>
      <c r="C3" s="55" t="s">
        <v>212</v>
      </c>
      <c r="D3" s="55" t="s">
        <v>522</v>
      </c>
      <c r="E3" s="55" t="s">
        <v>523</v>
      </c>
      <c r="F3" s="55" t="s">
        <v>524</v>
      </c>
      <c r="G3" s="55" t="s">
        <v>213</v>
      </c>
      <c r="H3" s="55" t="s">
        <v>214</v>
      </c>
      <c r="I3" s="55" t="s">
        <v>525</v>
      </c>
      <c r="J3" s="55" t="s">
        <v>526</v>
      </c>
      <c r="K3" s="55" t="s">
        <v>527</v>
      </c>
      <c r="L3" s="87"/>
      <c r="M3" s="57"/>
      <c r="N3" s="57"/>
      <c r="O3" s="57"/>
      <c r="P3" s="57"/>
      <c r="Q3" s="57"/>
      <c r="R3" s="57"/>
      <c r="S3" s="57"/>
      <c r="T3" s="57"/>
      <c r="U3" s="57"/>
      <c r="V3" s="57"/>
      <c r="W3" s="57"/>
      <c r="X3" s="57"/>
      <c r="Y3" s="57"/>
      <c r="Z3" s="57"/>
    </row>
    <row r="4" spans="1:26" ht="16.2" thickBot="1" x14ac:dyDescent="0.35">
      <c r="A4" s="58" t="s">
        <v>160</v>
      </c>
      <c r="B4" s="72">
        <f>'Financial Statements'!B9</f>
        <v>6861.1399999999994</v>
      </c>
      <c r="C4" s="72">
        <f>'Financial Statements'!C9</f>
        <v>8991.08</v>
      </c>
      <c r="D4" s="72">
        <f>'Financial Statements'!D9</f>
        <v>7974</v>
      </c>
      <c r="E4" s="72">
        <f>'Financial Statements'!E9</f>
        <v>8002</v>
      </c>
      <c r="F4" s="72">
        <f>'Financial Statements'!F9</f>
        <v>9550</v>
      </c>
      <c r="G4" s="60">
        <f>'Financial Statements'!G9</f>
        <v>10539.347153112434</v>
      </c>
      <c r="H4" s="60">
        <f>'Financial Statements'!H9</f>
        <v>11772.417385505501</v>
      </c>
      <c r="I4" s="60">
        <f>'Financial Statements'!I9</f>
        <v>13151.61255418679</v>
      </c>
      <c r="J4" s="60">
        <f>'Financial Statements'!J9</f>
        <v>14610.614679100601</v>
      </c>
      <c r="K4" s="60">
        <f>'Financial Statements'!K9</f>
        <v>16232.483265749079</v>
      </c>
      <c r="L4" s="116"/>
    </row>
    <row r="5" spans="1:26" ht="16.2" thickBot="1" x14ac:dyDescent="0.35">
      <c r="A5" s="58" t="s">
        <v>307</v>
      </c>
      <c r="B5" s="117">
        <f>B10-B6+B8</f>
        <v>3043.6800000000003</v>
      </c>
      <c r="C5" s="117">
        <f>B10</f>
        <v>3699.01</v>
      </c>
      <c r="D5" s="117">
        <f>C10</f>
        <v>4320.97</v>
      </c>
      <c r="E5" s="117">
        <f>D10</f>
        <v>4719</v>
      </c>
      <c r="F5" s="117">
        <f>E10</f>
        <v>4737</v>
      </c>
      <c r="G5" s="118">
        <f t="shared" ref="G5:K5" si="0">F10</f>
        <v>5440</v>
      </c>
      <c r="H5" s="118">
        <f t="shared" si="0"/>
        <v>6034.5647783482218</v>
      </c>
      <c r="I5" s="118">
        <f t="shared" si="0"/>
        <v>6624.5312394339089</v>
      </c>
      <c r="J5" s="118">
        <f t="shared" si="0"/>
        <v>7258.972467898061</v>
      </c>
      <c r="K5" s="118">
        <f t="shared" si="0"/>
        <v>7964.4516493760157</v>
      </c>
      <c r="L5" s="116"/>
    </row>
    <row r="6" spans="1:26" ht="16.2" thickBot="1" x14ac:dyDescent="0.35">
      <c r="A6" s="58" t="s">
        <v>171</v>
      </c>
      <c r="B6" s="119">
        <v>909.98</v>
      </c>
      <c r="C6" s="120">
        <f>C10-C5+C8</f>
        <v>932.51</v>
      </c>
      <c r="D6" s="120">
        <f t="shared" ref="D6:F6" si="1">D10-D5+D8</f>
        <v>740.02999999999975</v>
      </c>
      <c r="E6" s="120">
        <f t="shared" si="1"/>
        <v>394</v>
      </c>
      <c r="F6" s="120">
        <f t="shared" si="1"/>
        <v>1104</v>
      </c>
      <c r="G6" s="60">
        <f>G4*G7</f>
        <v>1041.262780000216</v>
      </c>
      <c r="H6" s="60">
        <f t="shared" ref="H6:K6" si="2">H4*H7</f>
        <v>1083.4339892596222</v>
      </c>
      <c r="I6" s="60">
        <f t="shared" si="2"/>
        <v>1179.6322344414727</v>
      </c>
      <c r="J6" s="60">
        <f t="shared" si="2"/>
        <v>1301.4080031312467</v>
      </c>
      <c r="K6" s="60">
        <f t="shared" si="2"/>
        <v>1575.1968101535913</v>
      </c>
      <c r="L6" s="116"/>
    </row>
    <row r="7" spans="1:26" ht="16.2" thickBot="1" x14ac:dyDescent="0.35">
      <c r="A7" s="58" t="s">
        <v>440</v>
      </c>
      <c r="B7" s="121">
        <f>B6/B4</f>
        <v>0.13262810553348278</v>
      </c>
      <c r="C7" s="121">
        <f t="shared" ref="C7:F7" si="3">C6/C4</f>
        <v>0.10371501532630117</v>
      </c>
      <c r="D7" s="121">
        <f t="shared" si="3"/>
        <v>9.2805367444193598E-2</v>
      </c>
      <c r="E7" s="121">
        <f t="shared" si="3"/>
        <v>4.9237690577355664E-2</v>
      </c>
      <c r="F7" s="121">
        <f t="shared" si="3"/>
        <v>0.1156020942408377</v>
      </c>
      <c r="G7" s="70">
        <f>AVERAGE(B7:F7)</f>
        <v>9.8797654624434197E-2</v>
      </c>
      <c r="H7" s="70">
        <f t="shared" ref="H7:K7" si="4">AVERAGE(C7:G7)</f>
        <v>9.2031564442624475E-2</v>
      </c>
      <c r="I7" s="70">
        <f t="shared" si="4"/>
        <v>8.969487426588911E-2</v>
      </c>
      <c r="J7" s="70">
        <f t="shared" si="4"/>
        <v>8.9072775630228224E-2</v>
      </c>
      <c r="K7" s="70">
        <f t="shared" si="4"/>
        <v>9.7039792640802758E-2</v>
      </c>
      <c r="L7" s="116"/>
    </row>
    <row r="8" spans="1:26" ht="16.2" thickBot="1" x14ac:dyDescent="0.35">
      <c r="A8" s="58" t="s">
        <v>86</v>
      </c>
      <c r="B8" s="72">
        <f>'Financial Statements'!B15</f>
        <v>254.65</v>
      </c>
      <c r="C8" s="72">
        <f>'Financial Statements'!C15</f>
        <v>310.55</v>
      </c>
      <c r="D8" s="72">
        <f>'Financial Statements'!D15</f>
        <v>342</v>
      </c>
      <c r="E8" s="72">
        <f>'Financial Statements'!E15</f>
        <v>376</v>
      </c>
      <c r="F8" s="72">
        <f>'Financial Statements'!F15</f>
        <v>401</v>
      </c>
      <c r="G8" s="60">
        <f>G9*(G5+(G6*0.5))</f>
        <v>446.69800165199348</v>
      </c>
      <c r="H8" s="60">
        <f t="shared" ref="H8:K8" si="5">H9*(H5+(H6*0.5))</f>
        <v>493.46752817393485</v>
      </c>
      <c r="I8" s="60">
        <f t="shared" si="5"/>
        <v>545.19100597732108</v>
      </c>
      <c r="J8" s="60">
        <f t="shared" si="5"/>
        <v>595.92882165329229</v>
      </c>
      <c r="K8" s="60">
        <f t="shared" si="5"/>
        <v>658.35324330725996</v>
      </c>
      <c r="L8" s="116"/>
    </row>
    <row r="9" spans="1:26" ht="16.2" thickBot="1" x14ac:dyDescent="0.35">
      <c r="A9" s="58" t="s">
        <v>441</v>
      </c>
      <c r="B9" s="121">
        <f>B8/(B5+(B6*0.5))</f>
        <v>7.2784801081553843E-2</v>
      </c>
      <c r="C9" s="121">
        <f t="shared" ref="C9:F9" si="6">C8/(C5+(C6*0.5))</f>
        <v>7.455708100204908E-2</v>
      </c>
      <c r="D9" s="121">
        <f t="shared" si="6"/>
        <v>7.2905796970145917E-2</v>
      </c>
      <c r="E9" s="121">
        <f t="shared" si="6"/>
        <v>7.6484947111472745E-2</v>
      </c>
      <c r="F9" s="121">
        <f t="shared" si="6"/>
        <v>7.5817734921535263E-2</v>
      </c>
      <c r="G9" s="70">
        <f>AVERAGE(C9:F9)</f>
        <v>7.4941390001300748E-2</v>
      </c>
      <c r="H9" s="70">
        <f t="shared" ref="H9:K9" si="7">AVERAGE(D9:G9)</f>
        <v>7.5037467251113668E-2</v>
      </c>
      <c r="I9" s="70">
        <f t="shared" si="7"/>
        <v>7.5570384821355599E-2</v>
      </c>
      <c r="J9" s="70">
        <f t="shared" si="7"/>
        <v>7.5341744248826309E-2</v>
      </c>
      <c r="K9" s="70">
        <f t="shared" si="7"/>
        <v>7.5222746580649091E-2</v>
      </c>
      <c r="L9" s="116"/>
    </row>
    <row r="10" spans="1:26" ht="16.2" thickBot="1" x14ac:dyDescent="0.35">
      <c r="A10" s="58" t="s">
        <v>308</v>
      </c>
      <c r="B10" s="68">
        <f>'Financial Statements'!B49</f>
        <v>3699.01</v>
      </c>
      <c r="C10" s="68">
        <f>'Financial Statements'!C49</f>
        <v>4320.97</v>
      </c>
      <c r="D10" s="68">
        <f>'Financial Statements'!D49</f>
        <v>4719</v>
      </c>
      <c r="E10" s="68">
        <f>'Financial Statements'!E49</f>
        <v>4737</v>
      </c>
      <c r="F10" s="68">
        <f>'Financial Statements'!F49</f>
        <v>5440</v>
      </c>
      <c r="G10" s="68">
        <f>G5+G6-G8</f>
        <v>6034.5647783482218</v>
      </c>
      <c r="H10" s="68">
        <f t="shared" ref="H10:K10" si="8">H5+H6-H8</f>
        <v>6624.5312394339089</v>
      </c>
      <c r="I10" s="68">
        <f t="shared" si="8"/>
        <v>7258.972467898061</v>
      </c>
      <c r="J10" s="68">
        <f t="shared" si="8"/>
        <v>7964.4516493760157</v>
      </c>
      <c r="K10" s="68">
        <f t="shared" si="8"/>
        <v>8881.2952162223464</v>
      </c>
      <c r="L10" s="116"/>
    </row>
    <row r="11" spans="1:26" x14ac:dyDescent="0.3">
      <c r="A11" s="122"/>
      <c r="B11" s="123"/>
      <c r="C11" s="123"/>
      <c r="D11" s="123"/>
      <c r="E11" s="123"/>
      <c r="F11" s="123"/>
      <c r="G11" s="123"/>
      <c r="H11" s="123"/>
      <c r="I11" s="123"/>
      <c r="J11" s="123"/>
      <c r="K11" s="123"/>
    </row>
    <row r="14" spans="1:26" x14ac:dyDescent="0.3">
      <c r="B14" s="125"/>
    </row>
    <row r="15" spans="1:26" x14ac:dyDescent="0.3">
      <c r="F15" s="126"/>
    </row>
  </sheetData>
  <mergeCells count="2">
    <mergeCell ref="B1:F1"/>
    <mergeCell ref="G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9645-D2D0-47E3-B82C-42A17AB8F090}">
  <dimension ref="A1:L1247"/>
  <sheetViews>
    <sheetView topLeftCell="A9" workbookViewId="0">
      <selection activeCell="L5" sqref="L5"/>
    </sheetView>
  </sheetViews>
  <sheetFormatPr defaultRowHeight="15.6" x14ac:dyDescent="0.3"/>
  <cols>
    <col min="1" max="1" width="12" style="14" customWidth="1"/>
    <col min="2" max="2" width="12.21875" style="14" customWidth="1"/>
    <col min="3" max="3" width="9" style="14" bestFit="1" customWidth="1"/>
    <col min="4" max="4" width="8.88671875" style="14"/>
    <col min="5" max="5" width="11.21875" style="14" customWidth="1"/>
    <col min="6" max="6" width="9.33203125" style="14" bestFit="1" customWidth="1"/>
    <col min="7" max="7" width="9" style="14" bestFit="1" customWidth="1"/>
    <col min="8" max="8" width="8.88671875" style="14"/>
    <col min="9" max="9" width="27" style="14" customWidth="1"/>
    <col min="10" max="10" width="9.88671875" style="14" customWidth="1"/>
    <col min="11" max="11" width="8.88671875" style="14"/>
    <col min="12" max="12" width="15.44140625" style="14" customWidth="1"/>
    <col min="13" max="16384" width="8.88671875" style="14"/>
  </cols>
  <sheetData>
    <row r="1" spans="1:12" s="112" customFormat="1" x14ac:dyDescent="0.3">
      <c r="A1" s="41" t="s">
        <v>335</v>
      </c>
      <c r="B1" s="41"/>
      <c r="C1" s="41"/>
      <c r="D1" s="41"/>
      <c r="E1" s="41"/>
      <c r="F1" s="41"/>
      <c r="G1" s="41"/>
      <c r="H1" s="41"/>
      <c r="I1" s="41"/>
      <c r="J1" s="127"/>
      <c r="L1" s="128" t="s">
        <v>515</v>
      </c>
    </row>
    <row r="3" spans="1:12" s="115" customFormat="1" ht="16.2" thickBot="1" x14ac:dyDescent="0.35">
      <c r="A3" s="129" t="s">
        <v>516</v>
      </c>
      <c r="B3" s="129"/>
      <c r="C3" s="129"/>
      <c r="D3" s="130"/>
      <c r="E3" s="129" t="s">
        <v>341</v>
      </c>
      <c r="F3" s="129"/>
      <c r="G3" s="129"/>
      <c r="H3" s="131"/>
      <c r="I3" s="129" t="s">
        <v>336</v>
      </c>
      <c r="J3" s="129"/>
      <c r="K3" s="116"/>
    </row>
    <row r="4" spans="1:12" ht="16.2" thickBot="1" x14ac:dyDescent="0.35">
      <c r="A4" s="132"/>
      <c r="B4" s="132"/>
      <c r="C4" s="132"/>
      <c r="E4" s="132"/>
      <c r="F4" s="132"/>
      <c r="G4" s="132"/>
      <c r="I4" s="132"/>
      <c r="J4" s="132"/>
    </row>
    <row r="5" spans="1:12" s="115" customFormat="1" ht="16.2" thickBot="1" x14ac:dyDescent="0.35">
      <c r="A5" s="132" t="s">
        <v>0</v>
      </c>
      <c r="B5" s="132" t="s">
        <v>337</v>
      </c>
      <c r="C5" s="132" t="s">
        <v>338</v>
      </c>
      <c r="D5" s="38"/>
      <c r="E5" s="132" t="s">
        <v>0</v>
      </c>
      <c r="F5" s="132" t="s">
        <v>339</v>
      </c>
      <c r="G5" s="132" t="s">
        <v>338</v>
      </c>
      <c r="H5" s="131"/>
      <c r="I5" s="133" t="s">
        <v>340</v>
      </c>
      <c r="J5" s="133"/>
      <c r="K5" s="116"/>
    </row>
    <row r="6" spans="1:12" ht="16.2" thickBot="1" x14ac:dyDescent="0.35">
      <c r="A6" s="134">
        <v>44281</v>
      </c>
      <c r="B6" s="135">
        <v>3464.95</v>
      </c>
      <c r="C6" s="132"/>
      <c r="E6" s="136">
        <v>44281</v>
      </c>
      <c r="F6" s="137">
        <v>48969.25</v>
      </c>
      <c r="G6" s="132"/>
      <c r="I6" s="132" t="s">
        <v>342</v>
      </c>
      <c r="J6" s="138">
        <f>SLOPE(C7:C1243,G7:G1243)</f>
        <v>0.26619620723823573</v>
      </c>
    </row>
    <row r="7" spans="1:12" ht="16.2" thickBot="1" x14ac:dyDescent="0.35">
      <c r="A7" s="134">
        <v>44285</v>
      </c>
      <c r="B7" s="135">
        <v>3584.25</v>
      </c>
      <c r="C7" s="139">
        <f>(B7-B6)/B6*100</f>
        <v>3.4430511262788834</v>
      </c>
      <c r="E7" s="136">
        <v>44285</v>
      </c>
      <c r="F7" s="137">
        <v>49331.68</v>
      </c>
      <c r="G7" s="139">
        <f>(F7-F6)/F6*100</f>
        <v>0.74011752273110232</v>
      </c>
      <c r="I7" s="132"/>
      <c r="J7" s="132"/>
    </row>
    <row r="8" spans="1:12" ht="16.2" thickBot="1" x14ac:dyDescent="0.35">
      <c r="A8" s="134">
        <v>44286</v>
      </c>
      <c r="B8" s="135">
        <v>3622.8</v>
      </c>
      <c r="C8" s="139">
        <f t="shared" ref="C8:C71" si="0">(B8-B7)/B7*100</f>
        <v>1.0755388156518151</v>
      </c>
      <c r="E8" s="136">
        <v>44286</v>
      </c>
      <c r="F8" s="137">
        <v>50049.120000000003</v>
      </c>
      <c r="G8" s="139">
        <f t="shared" ref="G8:G71" si="1">(F8-F7)/F7*100</f>
        <v>1.4543190096100564</v>
      </c>
    </row>
    <row r="9" spans="1:12" ht="16.2" thickBot="1" x14ac:dyDescent="0.35">
      <c r="A9" s="140">
        <v>44287</v>
      </c>
      <c r="B9" s="135">
        <v>3616.1</v>
      </c>
      <c r="C9" s="139">
        <f t="shared" si="0"/>
        <v>-0.18493982554930641</v>
      </c>
      <c r="E9" s="136">
        <v>44287</v>
      </c>
      <c r="F9" s="137">
        <v>49868.53</v>
      </c>
      <c r="G9" s="139">
        <f t="shared" si="1"/>
        <v>-0.36082552500424336</v>
      </c>
    </row>
    <row r="10" spans="1:12" ht="16.2" thickBot="1" x14ac:dyDescent="0.35">
      <c r="A10" s="140">
        <v>44291</v>
      </c>
      <c r="B10" s="135">
        <v>3611.05</v>
      </c>
      <c r="C10" s="139">
        <f t="shared" si="0"/>
        <v>-0.13965321755481672</v>
      </c>
      <c r="E10" s="136">
        <v>44291</v>
      </c>
      <c r="F10" s="137">
        <v>50020.91</v>
      </c>
      <c r="G10" s="139">
        <f t="shared" si="1"/>
        <v>0.30556344853157824</v>
      </c>
    </row>
    <row r="11" spans="1:12" ht="16.2" thickBot="1" x14ac:dyDescent="0.35">
      <c r="A11" s="140">
        <v>44292</v>
      </c>
      <c r="B11" s="135">
        <v>3688.1</v>
      </c>
      <c r="C11" s="139">
        <f t="shared" si="0"/>
        <v>2.1337284169424331</v>
      </c>
      <c r="E11" s="136">
        <v>44292</v>
      </c>
      <c r="F11" s="137">
        <v>49441.13</v>
      </c>
      <c r="G11" s="139">
        <f t="shared" si="1"/>
        <v>-1.1590752747201241</v>
      </c>
      <c r="I11" s="141" t="s">
        <v>437</v>
      </c>
      <c r="J11" s="141"/>
    </row>
    <row r="12" spans="1:12" ht="16.2" thickBot="1" x14ac:dyDescent="0.35">
      <c r="A12" s="140">
        <v>44293</v>
      </c>
      <c r="B12" s="135">
        <v>3698.95</v>
      </c>
      <c r="C12" s="139">
        <f t="shared" si="0"/>
        <v>0.29418942002656945</v>
      </c>
      <c r="E12" s="136">
        <v>44293</v>
      </c>
      <c r="F12" s="137">
        <v>49277.09</v>
      </c>
      <c r="G12" s="139">
        <f t="shared" si="1"/>
        <v>-0.33178853315043749</v>
      </c>
      <c r="I12" s="142" t="s">
        <v>436</v>
      </c>
      <c r="J12" s="143" t="s">
        <v>435</v>
      </c>
    </row>
    <row r="13" spans="1:12" ht="16.2" thickBot="1" x14ac:dyDescent="0.35">
      <c r="A13" s="140">
        <v>44294</v>
      </c>
      <c r="B13" s="135">
        <v>3715.15</v>
      </c>
      <c r="C13" s="139">
        <f t="shared" si="0"/>
        <v>0.43796212438665766</v>
      </c>
      <c r="E13" s="136">
        <v>44294</v>
      </c>
      <c r="F13" s="137">
        <v>49885.26</v>
      </c>
      <c r="G13" s="139">
        <f t="shared" si="1"/>
        <v>1.2341840802693615</v>
      </c>
      <c r="I13" s="132" t="s">
        <v>516</v>
      </c>
      <c r="J13" s="144">
        <f>AVERAGE(C7:C1243)</f>
        <v>5.8826328093446074E-2</v>
      </c>
    </row>
    <row r="14" spans="1:12" ht="16.2" thickBot="1" x14ac:dyDescent="0.35">
      <c r="A14" s="140">
        <v>44295</v>
      </c>
      <c r="B14" s="135">
        <v>3752.35</v>
      </c>
      <c r="C14" s="139">
        <f t="shared" si="0"/>
        <v>1.0013054654589939</v>
      </c>
      <c r="E14" s="136">
        <v>44295</v>
      </c>
      <c r="F14" s="137">
        <v>49743.39</v>
      </c>
      <c r="G14" s="139">
        <f t="shared" si="1"/>
        <v>-0.28439262419400563</v>
      </c>
      <c r="I14" s="132" t="s">
        <v>434</v>
      </c>
      <c r="J14" s="144">
        <f>AVERAGE(G7:G1243)</f>
        <v>3.7737235501432806E-2</v>
      </c>
    </row>
    <row r="15" spans="1:12" ht="16.2" thickBot="1" x14ac:dyDescent="0.35">
      <c r="A15" s="140">
        <v>44298</v>
      </c>
      <c r="B15" s="135">
        <v>3779.65</v>
      </c>
      <c r="C15" s="139">
        <f t="shared" si="0"/>
        <v>0.72754407238131258</v>
      </c>
      <c r="E15" s="136">
        <v>44298</v>
      </c>
      <c r="F15" s="137">
        <v>48956.65</v>
      </c>
      <c r="G15" s="139">
        <f t="shared" si="1"/>
        <v>-1.5815970724954571</v>
      </c>
    </row>
    <row r="16" spans="1:12" ht="16.2" thickBot="1" x14ac:dyDescent="0.35">
      <c r="A16" s="134">
        <v>44299</v>
      </c>
      <c r="B16" s="135">
        <v>3718.45</v>
      </c>
      <c r="C16" s="139">
        <f t="shared" si="0"/>
        <v>-1.6191975447462137</v>
      </c>
      <c r="E16" s="136">
        <v>44299</v>
      </c>
      <c r="F16" s="137">
        <v>47991.53</v>
      </c>
      <c r="G16" s="139">
        <f t="shared" si="1"/>
        <v>-1.9713767179739679</v>
      </c>
    </row>
    <row r="17" spans="1:7" ht="16.2" thickBot="1" x14ac:dyDescent="0.35">
      <c r="A17" s="134">
        <v>44301</v>
      </c>
      <c r="B17" s="135">
        <v>3783.4</v>
      </c>
      <c r="C17" s="139">
        <f t="shared" si="0"/>
        <v>1.7466955317403832</v>
      </c>
      <c r="E17" s="136">
        <v>44301</v>
      </c>
      <c r="F17" s="137">
        <v>48512.77</v>
      </c>
      <c r="G17" s="139">
        <f t="shared" si="1"/>
        <v>1.0861083195305463</v>
      </c>
    </row>
    <row r="18" spans="1:7" ht="16.2" thickBot="1" x14ac:dyDescent="0.35">
      <c r="A18" s="134">
        <v>44302</v>
      </c>
      <c r="B18" s="135">
        <v>3821.85</v>
      </c>
      <c r="C18" s="139">
        <f t="shared" si="0"/>
        <v>1.0162816514246398</v>
      </c>
      <c r="E18" s="136">
        <v>44302</v>
      </c>
      <c r="F18" s="137">
        <v>48935.74</v>
      </c>
      <c r="G18" s="139">
        <f t="shared" si="1"/>
        <v>0.87187352938205998</v>
      </c>
    </row>
    <row r="19" spans="1:7" ht="16.2" thickBot="1" x14ac:dyDescent="0.35">
      <c r="A19" s="134">
        <v>44305</v>
      </c>
      <c r="B19" s="135">
        <v>3807.1</v>
      </c>
      <c r="C19" s="139">
        <f t="shared" si="0"/>
        <v>-0.38593874694192604</v>
      </c>
      <c r="E19" s="136">
        <v>44305</v>
      </c>
      <c r="F19" s="137">
        <v>47940.81</v>
      </c>
      <c r="G19" s="139">
        <f t="shared" si="1"/>
        <v>-2.0331357000016763</v>
      </c>
    </row>
    <row r="20" spans="1:7" ht="16.2" thickBot="1" x14ac:dyDescent="0.35">
      <c r="A20" s="134">
        <v>44306</v>
      </c>
      <c r="B20" s="135">
        <v>3779.7</v>
      </c>
      <c r="C20" s="139">
        <f t="shared" si="0"/>
        <v>-0.71970791416038693</v>
      </c>
      <c r="E20" s="136">
        <v>44306</v>
      </c>
      <c r="F20" s="137">
        <v>48473.04</v>
      </c>
      <c r="G20" s="139">
        <f t="shared" si="1"/>
        <v>1.1101814925530111</v>
      </c>
    </row>
    <row r="21" spans="1:7" ht="16.2" thickBot="1" x14ac:dyDescent="0.35">
      <c r="A21" s="134">
        <v>44308</v>
      </c>
      <c r="B21" s="135">
        <v>3755.25</v>
      </c>
      <c r="C21" s="139">
        <f t="shared" si="0"/>
        <v>-0.64687673624890385</v>
      </c>
      <c r="E21" s="136">
        <v>44308</v>
      </c>
      <c r="F21" s="137">
        <v>47501.71</v>
      </c>
      <c r="G21" s="139">
        <f t="shared" si="1"/>
        <v>-2.0038561641687869</v>
      </c>
    </row>
    <row r="22" spans="1:7" ht="16.2" thickBot="1" x14ac:dyDescent="0.35">
      <c r="A22" s="134">
        <v>44309</v>
      </c>
      <c r="B22" s="135">
        <v>3779.75</v>
      </c>
      <c r="C22" s="139">
        <f t="shared" si="0"/>
        <v>0.65241994540975967</v>
      </c>
      <c r="E22" s="136">
        <v>44309</v>
      </c>
      <c r="F22" s="137">
        <v>47863.81</v>
      </c>
      <c r="G22" s="139">
        <f t="shared" si="1"/>
        <v>0.76228834709318583</v>
      </c>
    </row>
    <row r="23" spans="1:7" ht="16.2" thickBot="1" x14ac:dyDescent="0.35">
      <c r="A23" s="134">
        <v>44312</v>
      </c>
      <c r="B23" s="135">
        <v>3784.35</v>
      </c>
      <c r="C23" s="139">
        <f t="shared" si="0"/>
        <v>0.12170117071234629</v>
      </c>
      <c r="E23" s="136">
        <v>44312</v>
      </c>
      <c r="F23" s="137">
        <v>48197.37</v>
      </c>
      <c r="G23" s="139">
        <f t="shared" si="1"/>
        <v>0.69689395808650623</v>
      </c>
    </row>
    <row r="24" spans="1:7" ht="16.2" thickBot="1" x14ac:dyDescent="0.35">
      <c r="A24" s="134">
        <v>44313</v>
      </c>
      <c r="B24" s="135">
        <v>3908.95</v>
      </c>
      <c r="C24" s="139">
        <f t="shared" si="0"/>
        <v>3.2925072998004921</v>
      </c>
      <c r="E24" s="136">
        <v>44313</v>
      </c>
      <c r="F24" s="137">
        <v>48424.08</v>
      </c>
      <c r="G24" s="139">
        <f t="shared" si="1"/>
        <v>0.4703783629687659</v>
      </c>
    </row>
    <row r="25" spans="1:7" ht="16.2" thickBot="1" x14ac:dyDescent="0.35">
      <c r="A25" s="134">
        <v>44314</v>
      </c>
      <c r="B25" s="135">
        <v>3882.6</v>
      </c>
      <c r="C25" s="139">
        <f t="shared" si="0"/>
        <v>-0.67409406618145307</v>
      </c>
      <c r="E25" s="136">
        <v>44314</v>
      </c>
      <c r="F25" s="137">
        <v>49066.64</v>
      </c>
      <c r="G25" s="139">
        <f t="shared" si="1"/>
        <v>1.326943124164667</v>
      </c>
    </row>
    <row r="26" spans="1:7" ht="16.2" thickBot="1" x14ac:dyDescent="0.35">
      <c r="A26" s="134">
        <v>44315</v>
      </c>
      <c r="B26" s="135">
        <v>3910.85</v>
      </c>
      <c r="C26" s="139">
        <f t="shared" si="0"/>
        <v>0.72760521300159697</v>
      </c>
      <c r="E26" s="136">
        <v>44315</v>
      </c>
      <c r="F26" s="137">
        <v>50093.86</v>
      </c>
      <c r="G26" s="139">
        <f t="shared" si="1"/>
        <v>2.093520159521828</v>
      </c>
    </row>
    <row r="27" spans="1:7" ht="16.2" thickBot="1" x14ac:dyDescent="0.35">
      <c r="A27" s="134">
        <v>44316</v>
      </c>
      <c r="B27" s="135">
        <v>4062.35</v>
      </c>
      <c r="C27" s="139">
        <f t="shared" si="0"/>
        <v>3.8738381681731595</v>
      </c>
      <c r="E27" s="136">
        <v>44316</v>
      </c>
      <c r="F27" s="137">
        <v>49360.89</v>
      </c>
      <c r="G27" s="139">
        <f t="shared" si="1"/>
        <v>-1.4631932935493515</v>
      </c>
    </row>
    <row r="28" spans="1:7" ht="16.2" thickBot="1" x14ac:dyDescent="0.35">
      <c r="A28" s="140">
        <v>44319</v>
      </c>
      <c r="B28" s="135">
        <v>4074</v>
      </c>
      <c r="C28" s="139">
        <f t="shared" si="0"/>
        <v>0.2867798195625707</v>
      </c>
      <c r="E28" s="136">
        <v>44319</v>
      </c>
      <c r="F28" s="137">
        <v>48356.01</v>
      </c>
      <c r="G28" s="139">
        <f t="shared" si="1"/>
        <v>-2.0357817697371288</v>
      </c>
    </row>
    <row r="29" spans="1:7" ht="16.2" thickBot="1" x14ac:dyDescent="0.35">
      <c r="A29" s="140">
        <v>44320</v>
      </c>
      <c r="B29" s="135">
        <v>3985.35</v>
      </c>
      <c r="C29" s="139">
        <f t="shared" si="0"/>
        <v>-2.1759941089838022</v>
      </c>
      <c r="E29" s="136">
        <v>44320</v>
      </c>
      <c r="F29" s="137">
        <v>48881.63</v>
      </c>
      <c r="G29" s="139">
        <f t="shared" si="1"/>
        <v>1.0869796742948712</v>
      </c>
    </row>
    <row r="30" spans="1:7" ht="16.2" thickBot="1" x14ac:dyDescent="0.35">
      <c r="A30" s="140">
        <v>44321</v>
      </c>
      <c r="B30" s="135">
        <v>4035.45</v>
      </c>
      <c r="C30" s="139">
        <f t="shared" si="0"/>
        <v>1.2571041439271309</v>
      </c>
      <c r="E30" s="136">
        <v>44321</v>
      </c>
      <c r="F30" s="137">
        <v>48569.120000000003</v>
      </c>
      <c r="G30" s="139">
        <f t="shared" si="1"/>
        <v>-0.63931992447877617</v>
      </c>
    </row>
    <row r="31" spans="1:7" ht="16.2" thickBot="1" x14ac:dyDescent="0.35">
      <c r="A31" s="140">
        <v>44322</v>
      </c>
      <c r="B31" s="135">
        <v>4063.05</v>
      </c>
      <c r="C31" s="139">
        <f t="shared" si="0"/>
        <v>0.68393859420883329</v>
      </c>
      <c r="E31" s="136">
        <v>44322</v>
      </c>
      <c r="F31" s="137">
        <v>48877.78</v>
      </c>
      <c r="G31" s="139">
        <f t="shared" si="1"/>
        <v>0.63550667584670295</v>
      </c>
    </row>
    <row r="32" spans="1:7" ht="16.2" thickBot="1" x14ac:dyDescent="0.35">
      <c r="A32" s="140">
        <v>44323</v>
      </c>
      <c r="B32" s="135">
        <v>4029.1</v>
      </c>
      <c r="C32" s="139">
        <f t="shared" si="0"/>
        <v>-0.83557918312598345</v>
      </c>
      <c r="E32" s="136">
        <v>44323</v>
      </c>
      <c r="F32" s="137">
        <v>49169.14</v>
      </c>
      <c r="G32" s="139">
        <f t="shared" si="1"/>
        <v>0.59609908633330033</v>
      </c>
    </row>
    <row r="33" spans="1:7" ht="16.2" thickBot="1" x14ac:dyDescent="0.35">
      <c r="A33" s="140">
        <v>44326</v>
      </c>
      <c r="B33" s="135">
        <v>4139.3</v>
      </c>
      <c r="C33" s="139">
        <f t="shared" si="0"/>
        <v>2.7351021319897812</v>
      </c>
      <c r="E33" s="136">
        <v>44326</v>
      </c>
      <c r="F33" s="137">
        <v>49496.05</v>
      </c>
      <c r="G33" s="139">
        <f t="shared" si="1"/>
        <v>0.6648682486616676</v>
      </c>
    </row>
    <row r="34" spans="1:7" ht="16.2" thickBot="1" x14ac:dyDescent="0.35">
      <c r="A34" s="140">
        <v>44327</v>
      </c>
      <c r="B34" s="135">
        <v>4073.6</v>
      </c>
      <c r="C34" s="139">
        <f t="shared" si="0"/>
        <v>-1.5872248930978734</v>
      </c>
      <c r="E34" s="136">
        <v>44327</v>
      </c>
      <c r="F34" s="137">
        <v>49066.45</v>
      </c>
      <c r="G34" s="139">
        <f t="shared" si="1"/>
        <v>-0.8679480483796298</v>
      </c>
    </row>
    <row r="35" spans="1:7" ht="16.2" thickBot="1" x14ac:dyDescent="0.35">
      <c r="A35" s="140">
        <v>44328</v>
      </c>
      <c r="B35" s="135">
        <v>4061.45</v>
      </c>
      <c r="C35" s="139">
        <f t="shared" si="0"/>
        <v>-0.29826197957580741</v>
      </c>
      <c r="E35" s="136">
        <v>44328</v>
      </c>
      <c r="F35" s="137">
        <v>49171.28</v>
      </c>
      <c r="G35" s="139">
        <f t="shared" si="1"/>
        <v>0.21364904124916673</v>
      </c>
    </row>
    <row r="36" spans="1:7" ht="16.2" thickBot="1" x14ac:dyDescent="0.35">
      <c r="A36" s="134">
        <v>44330</v>
      </c>
      <c r="B36" s="135">
        <v>4020.55</v>
      </c>
      <c r="C36" s="139">
        <f t="shared" si="0"/>
        <v>-1.0070295091654369</v>
      </c>
      <c r="E36" s="136">
        <v>44330</v>
      </c>
      <c r="F36" s="137">
        <v>48898.93</v>
      </c>
      <c r="G36" s="139">
        <f t="shared" si="1"/>
        <v>-0.55388023252597562</v>
      </c>
    </row>
    <row r="37" spans="1:7" ht="16.2" thickBot="1" x14ac:dyDescent="0.35">
      <c r="A37" s="134">
        <v>44333</v>
      </c>
      <c r="B37" s="135">
        <v>4043.25</v>
      </c>
      <c r="C37" s="139">
        <f t="shared" si="0"/>
        <v>0.56459937073285538</v>
      </c>
      <c r="E37" s="136">
        <v>44333</v>
      </c>
      <c r="F37" s="137">
        <v>48990.7</v>
      </c>
      <c r="G37" s="139">
        <f t="shared" si="1"/>
        <v>0.18767281819867387</v>
      </c>
    </row>
    <row r="38" spans="1:7" ht="16.2" thickBot="1" x14ac:dyDescent="0.35">
      <c r="A38" s="134">
        <v>44334</v>
      </c>
      <c r="B38" s="135">
        <v>4023.95</v>
      </c>
      <c r="C38" s="139">
        <f t="shared" si="0"/>
        <v>-0.47733877450071555</v>
      </c>
      <c r="E38" s="136">
        <v>44334</v>
      </c>
      <c r="F38" s="137">
        <v>49986.68</v>
      </c>
      <c r="G38" s="139">
        <f t="shared" si="1"/>
        <v>2.0329980996393262</v>
      </c>
    </row>
    <row r="39" spans="1:7" ht="16.2" thickBot="1" x14ac:dyDescent="0.35">
      <c r="A39" s="134">
        <v>44335</v>
      </c>
      <c r="B39" s="135">
        <v>4039.65</v>
      </c>
      <c r="C39" s="139">
        <f t="shared" si="0"/>
        <v>0.39016389368655857</v>
      </c>
      <c r="E39" s="136">
        <v>44335</v>
      </c>
      <c r="F39" s="137">
        <v>50088.81</v>
      </c>
      <c r="G39" s="139">
        <f t="shared" si="1"/>
        <v>0.20431442936397734</v>
      </c>
    </row>
    <row r="40" spans="1:7" ht="16.2" thickBot="1" x14ac:dyDescent="0.35">
      <c r="A40" s="134">
        <v>44336</v>
      </c>
      <c r="B40" s="135">
        <v>4040.8</v>
      </c>
      <c r="C40" s="139">
        <f t="shared" si="0"/>
        <v>2.8467812805567091E-2</v>
      </c>
      <c r="E40" s="136">
        <v>44336</v>
      </c>
      <c r="F40" s="137">
        <v>49971.519999999997</v>
      </c>
      <c r="G40" s="139">
        <f t="shared" si="1"/>
        <v>-0.23416407776507545</v>
      </c>
    </row>
    <row r="41" spans="1:7" ht="16.2" thickBot="1" x14ac:dyDescent="0.35">
      <c r="A41" s="134">
        <v>44337</v>
      </c>
      <c r="B41" s="135">
        <v>4079.9</v>
      </c>
      <c r="C41" s="139">
        <f t="shared" si="0"/>
        <v>0.96763017224311787</v>
      </c>
      <c r="E41" s="136">
        <v>44337</v>
      </c>
      <c r="F41" s="137">
        <v>49833.98</v>
      </c>
      <c r="G41" s="139">
        <f t="shared" si="1"/>
        <v>-0.27523677486695142</v>
      </c>
    </row>
    <row r="42" spans="1:7" ht="16.2" thickBot="1" x14ac:dyDescent="0.35">
      <c r="A42" s="134">
        <v>44340</v>
      </c>
      <c r="B42" s="135">
        <v>4097.2</v>
      </c>
      <c r="C42" s="139">
        <f t="shared" si="0"/>
        <v>0.42403000073530545</v>
      </c>
      <c r="E42" s="136">
        <v>44340</v>
      </c>
      <c r="F42" s="137">
        <v>50727.28</v>
      </c>
      <c r="G42" s="139">
        <f t="shared" si="1"/>
        <v>1.7925519896263464</v>
      </c>
    </row>
    <row r="43" spans="1:7" ht="16.2" thickBot="1" x14ac:dyDescent="0.35">
      <c r="A43" s="134">
        <v>44341</v>
      </c>
      <c r="B43" s="135">
        <v>4097.8500000000004</v>
      </c>
      <c r="C43" s="139">
        <f t="shared" si="0"/>
        <v>1.5864492824381182E-2</v>
      </c>
      <c r="E43" s="136">
        <v>44341</v>
      </c>
      <c r="F43" s="137">
        <v>50922.32</v>
      </c>
      <c r="G43" s="139">
        <f t="shared" si="1"/>
        <v>0.38448740007349275</v>
      </c>
    </row>
    <row r="44" spans="1:7" ht="16.2" thickBot="1" x14ac:dyDescent="0.35">
      <c r="A44" s="134">
        <v>44342</v>
      </c>
      <c r="B44" s="135">
        <v>4098.6000000000004</v>
      </c>
      <c r="C44" s="139">
        <f t="shared" si="0"/>
        <v>1.830228046414583E-2</v>
      </c>
      <c r="E44" s="136">
        <v>44342</v>
      </c>
      <c r="F44" s="137">
        <v>50899.58</v>
      </c>
      <c r="G44" s="139">
        <f t="shared" si="1"/>
        <v>-4.4656252896564733E-2</v>
      </c>
    </row>
    <row r="45" spans="1:7" ht="16.2" thickBot="1" x14ac:dyDescent="0.35">
      <c r="A45" s="134">
        <v>44343</v>
      </c>
      <c r="B45" s="135">
        <v>4079.2</v>
      </c>
      <c r="C45" s="139">
        <f t="shared" si="0"/>
        <v>-0.47333235739034174</v>
      </c>
      <c r="E45" s="136">
        <v>44343</v>
      </c>
      <c r="F45" s="137">
        <v>51128.800000000003</v>
      </c>
      <c r="G45" s="139">
        <f t="shared" si="1"/>
        <v>0.4503377041618048</v>
      </c>
    </row>
    <row r="46" spans="1:7" ht="16.2" thickBot="1" x14ac:dyDescent="0.35">
      <c r="A46" s="134">
        <v>44344</v>
      </c>
      <c r="B46" s="135">
        <v>4120.25</v>
      </c>
      <c r="C46" s="139">
        <f t="shared" si="0"/>
        <v>1.0063247695626638</v>
      </c>
      <c r="E46" s="136">
        <v>44344</v>
      </c>
      <c r="F46" s="137">
        <v>51381.27</v>
      </c>
      <c r="G46" s="139">
        <f t="shared" si="1"/>
        <v>0.49379214845643526</v>
      </c>
    </row>
    <row r="47" spans="1:7" ht="16.2" thickBot="1" x14ac:dyDescent="0.35">
      <c r="A47" s="134">
        <v>44347</v>
      </c>
      <c r="B47" s="135">
        <v>4194</v>
      </c>
      <c r="C47" s="139">
        <f t="shared" si="0"/>
        <v>1.7899399308294401</v>
      </c>
      <c r="E47" s="136">
        <v>44347</v>
      </c>
      <c r="F47" s="137">
        <v>51476.22</v>
      </c>
      <c r="G47" s="139">
        <f t="shared" si="1"/>
        <v>0.18479496516922289</v>
      </c>
    </row>
    <row r="48" spans="1:7" ht="16.2" thickBot="1" x14ac:dyDescent="0.35">
      <c r="A48" s="140">
        <v>44348</v>
      </c>
      <c r="B48" s="135">
        <v>4220.1000000000004</v>
      </c>
      <c r="C48" s="139">
        <f t="shared" si="0"/>
        <v>0.62231759656653229</v>
      </c>
      <c r="E48" s="136">
        <v>44348</v>
      </c>
      <c r="F48" s="137">
        <v>52067.51</v>
      </c>
      <c r="G48" s="139">
        <f t="shared" si="1"/>
        <v>1.1486663162135853</v>
      </c>
    </row>
    <row r="49" spans="1:7" ht="16.2" thickBot="1" x14ac:dyDescent="0.35">
      <c r="A49" s="140">
        <v>44349</v>
      </c>
      <c r="B49" s="135">
        <v>4214.25</v>
      </c>
      <c r="C49" s="139">
        <f t="shared" si="0"/>
        <v>-0.13862230752826624</v>
      </c>
      <c r="E49" s="136">
        <v>44349</v>
      </c>
      <c r="F49" s="137">
        <v>51749.1</v>
      </c>
      <c r="G49" s="139">
        <f t="shared" si="1"/>
        <v>-0.61153298861421157</v>
      </c>
    </row>
    <row r="50" spans="1:7" ht="16.2" thickBot="1" x14ac:dyDescent="0.35">
      <c r="A50" s="140">
        <v>44350</v>
      </c>
      <c r="B50" s="135">
        <v>4232.2</v>
      </c>
      <c r="C50" s="139">
        <f t="shared" si="0"/>
        <v>0.42593581301536021</v>
      </c>
      <c r="E50" s="136">
        <v>44350</v>
      </c>
      <c r="F50" s="137">
        <v>52121.58</v>
      </c>
      <c r="G50" s="139">
        <f t="shared" si="1"/>
        <v>0.71978063386610236</v>
      </c>
    </row>
    <row r="51" spans="1:7" ht="16.2" thickBot="1" x14ac:dyDescent="0.35">
      <c r="A51" s="140">
        <v>44351</v>
      </c>
      <c r="B51" s="135">
        <v>4261.6000000000004</v>
      </c>
      <c r="C51" s="139">
        <f t="shared" si="0"/>
        <v>0.69467416473702914</v>
      </c>
      <c r="E51" s="136">
        <v>44351</v>
      </c>
      <c r="F51" s="137">
        <v>52367.519999999997</v>
      </c>
      <c r="G51" s="139">
        <f t="shared" si="1"/>
        <v>0.47185829746526303</v>
      </c>
    </row>
    <row r="52" spans="1:7" ht="16.2" thickBot="1" x14ac:dyDescent="0.35">
      <c r="A52" s="140">
        <v>44354</v>
      </c>
      <c r="B52" s="135">
        <v>4229.95</v>
      </c>
      <c r="C52" s="139">
        <f t="shared" si="0"/>
        <v>-0.74267880608223547</v>
      </c>
      <c r="E52" s="136">
        <v>44354</v>
      </c>
      <c r="F52" s="137">
        <v>52231.38</v>
      </c>
      <c r="G52" s="139">
        <f t="shared" si="1"/>
        <v>-0.25997030220258555</v>
      </c>
    </row>
    <row r="53" spans="1:7" ht="16.2" thickBot="1" x14ac:dyDescent="0.35">
      <c r="A53" s="140">
        <v>44355</v>
      </c>
      <c r="B53" s="135">
        <v>4241.2</v>
      </c>
      <c r="C53" s="139">
        <f t="shared" si="0"/>
        <v>0.26596059055071575</v>
      </c>
      <c r="E53" s="136">
        <v>44355</v>
      </c>
      <c r="F53" s="137">
        <v>52428.72</v>
      </c>
      <c r="G53" s="139">
        <f t="shared" si="1"/>
        <v>0.377818851426104</v>
      </c>
    </row>
    <row r="54" spans="1:7" ht="16.2" thickBot="1" x14ac:dyDescent="0.35">
      <c r="A54" s="140">
        <v>44356</v>
      </c>
      <c r="B54" s="135">
        <v>4267.45</v>
      </c>
      <c r="C54" s="139">
        <f t="shared" si="0"/>
        <v>0.61892860511176084</v>
      </c>
      <c r="E54" s="136">
        <v>44356</v>
      </c>
      <c r="F54" s="137">
        <v>52401.41</v>
      </c>
      <c r="G54" s="139">
        <f t="shared" si="1"/>
        <v>-5.2089770644787189E-2</v>
      </c>
    </row>
    <row r="55" spans="1:7" ht="16.2" thickBot="1" x14ac:dyDescent="0.35">
      <c r="A55" s="140">
        <v>44357</v>
      </c>
      <c r="B55" s="135">
        <v>4372.55</v>
      </c>
      <c r="C55" s="139">
        <f t="shared" si="0"/>
        <v>2.462829089971772</v>
      </c>
      <c r="E55" s="136">
        <v>44357</v>
      </c>
      <c r="F55" s="137">
        <v>52143.9</v>
      </c>
      <c r="G55" s="139">
        <f t="shared" si="1"/>
        <v>-0.49141807443731383</v>
      </c>
    </row>
    <row r="56" spans="1:7" ht="16.2" thickBot="1" x14ac:dyDescent="0.35">
      <c r="A56" s="140">
        <v>44358</v>
      </c>
      <c r="B56" s="135">
        <v>4334.5</v>
      </c>
      <c r="C56" s="139">
        <f t="shared" si="0"/>
        <v>-0.87020159860951118</v>
      </c>
      <c r="E56" s="136">
        <v>44358</v>
      </c>
      <c r="F56" s="137">
        <v>52477.19</v>
      </c>
      <c r="G56" s="139">
        <f t="shared" si="1"/>
        <v>0.63917351789950672</v>
      </c>
    </row>
    <row r="57" spans="1:7" ht="16.2" thickBot="1" x14ac:dyDescent="0.35">
      <c r="A57" s="134">
        <v>44361</v>
      </c>
      <c r="B57" s="135">
        <v>4388.05</v>
      </c>
      <c r="C57" s="139">
        <f t="shared" si="0"/>
        <v>1.235436613219522</v>
      </c>
      <c r="E57" s="136">
        <v>44361</v>
      </c>
      <c r="F57" s="137">
        <v>52492.34</v>
      </c>
      <c r="G57" s="139">
        <f t="shared" si="1"/>
        <v>2.8869686048346298E-2</v>
      </c>
    </row>
    <row r="58" spans="1:7" ht="16.2" thickBot="1" x14ac:dyDescent="0.35">
      <c r="A58" s="134">
        <v>44362</v>
      </c>
      <c r="B58" s="135">
        <v>4313.05</v>
      </c>
      <c r="C58" s="139">
        <f t="shared" si="0"/>
        <v>-1.7091874522851835</v>
      </c>
      <c r="E58" s="136">
        <v>44362</v>
      </c>
      <c r="F58" s="137">
        <v>52751.83</v>
      </c>
      <c r="G58" s="139">
        <f t="shared" si="1"/>
        <v>0.49433879305057704</v>
      </c>
    </row>
    <row r="59" spans="1:7" ht="16.2" thickBot="1" x14ac:dyDescent="0.35">
      <c r="A59" s="134">
        <v>44363</v>
      </c>
      <c r="B59" s="135">
        <v>4300.7</v>
      </c>
      <c r="C59" s="139">
        <f t="shared" si="0"/>
        <v>-0.28634029283222689</v>
      </c>
      <c r="E59" s="136">
        <v>44363</v>
      </c>
      <c r="F59" s="137">
        <v>52782.21</v>
      </c>
      <c r="G59" s="139">
        <f t="shared" si="1"/>
        <v>5.7590419138060948E-2</v>
      </c>
    </row>
    <row r="60" spans="1:7" ht="16.2" thickBot="1" x14ac:dyDescent="0.35">
      <c r="A60" s="134">
        <v>44364</v>
      </c>
      <c r="B60" s="135">
        <v>4302.3500000000004</v>
      </c>
      <c r="C60" s="139">
        <f t="shared" si="0"/>
        <v>3.8365847420200098E-2</v>
      </c>
      <c r="E60" s="136">
        <v>44364</v>
      </c>
      <c r="F60" s="137">
        <v>52122.25</v>
      </c>
      <c r="G60" s="139">
        <f t="shared" si="1"/>
        <v>-1.2503455236148679</v>
      </c>
    </row>
    <row r="61" spans="1:7" ht="16.2" thickBot="1" x14ac:dyDescent="0.35">
      <c r="A61" s="134">
        <v>44365</v>
      </c>
      <c r="B61" s="135">
        <v>4197.3</v>
      </c>
      <c r="C61" s="139">
        <f t="shared" si="0"/>
        <v>-2.4416888444687248</v>
      </c>
      <c r="E61" s="136">
        <v>44365</v>
      </c>
      <c r="F61" s="137">
        <v>52568.07</v>
      </c>
      <c r="G61" s="139">
        <f t="shared" si="1"/>
        <v>0.85533529346871962</v>
      </c>
    </row>
    <row r="62" spans="1:7" ht="16.2" thickBot="1" x14ac:dyDescent="0.35">
      <c r="A62" s="134">
        <v>44368</v>
      </c>
      <c r="B62" s="135">
        <v>4229.1000000000004</v>
      </c>
      <c r="C62" s="139">
        <f t="shared" si="0"/>
        <v>0.75762990493889359</v>
      </c>
      <c r="E62" s="136">
        <v>44368</v>
      </c>
      <c r="F62" s="137">
        <v>51887.55</v>
      </c>
      <c r="G62" s="139">
        <f t="shared" si="1"/>
        <v>-1.2945500947628414</v>
      </c>
    </row>
    <row r="63" spans="1:7" ht="16.2" thickBot="1" x14ac:dyDescent="0.35">
      <c r="A63" s="134">
        <v>44369</v>
      </c>
      <c r="B63" s="135">
        <v>4288.75</v>
      </c>
      <c r="C63" s="139">
        <f t="shared" si="0"/>
        <v>1.4104655836939215</v>
      </c>
      <c r="E63" s="136">
        <v>44369</v>
      </c>
      <c r="F63" s="137">
        <v>52885.04</v>
      </c>
      <c r="G63" s="139">
        <f t="shared" si="1"/>
        <v>1.9224072055820673</v>
      </c>
    </row>
    <row r="64" spans="1:7" ht="16.2" thickBot="1" x14ac:dyDescent="0.35">
      <c r="A64" s="134">
        <v>44370</v>
      </c>
      <c r="B64" s="135">
        <v>4224.6000000000004</v>
      </c>
      <c r="C64" s="139">
        <f t="shared" si="0"/>
        <v>-1.4957738268726235</v>
      </c>
      <c r="E64" s="136">
        <v>44370</v>
      </c>
      <c r="F64" s="137">
        <v>52912.35</v>
      </c>
      <c r="G64" s="139">
        <f t="shared" si="1"/>
        <v>5.1640312647958042E-2</v>
      </c>
    </row>
    <row r="65" spans="1:7" ht="16.2" thickBot="1" x14ac:dyDescent="0.35">
      <c r="A65" s="134">
        <v>44371</v>
      </c>
      <c r="B65" s="135">
        <v>4250.3500000000004</v>
      </c>
      <c r="C65" s="139">
        <f t="shared" si="0"/>
        <v>0.60952516214552854</v>
      </c>
      <c r="E65" s="136">
        <v>44371</v>
      </c>
      <c r="F65" s="137">
        <v>52514.57</v>
      </c>
      <c r="G65" s="139">
        <f t="shared" si="1"/>
        <v>-0.7517715618376406</v>
      </c>
    </row>
    <row r="66" spans="1:7" ht="16.2" thickBot="1" x14ac:dyDescent="0.35">
      <c r="A66" s="134">
        <v>44372</v>
      </c>
      <c r="B66" s="135">
        <v>4248.75</v>
      </c>
      <c r="C66" s="139">
        <f t="shared" si="0"/>
        <v>-3.7643958732818797E-2</v>
      </c>
      <c r="E66" s="136">
        <v>44372</v>
      </c>
      <c r="F66" s="137">
        <v>52877.16</v>
      </c>
      <c r="G66" s="139">
        <f t="shared" si="1"/>
        <v>0.69045600106790128</v>
      </c>
    </row>
    <row r="67" spans="1:7" ht="16.2" thickBot="1" x14ac:dyDescent="0.35">
      <c r="A67" s="134">
        <v>44375</v>
      </c>
      <c r="B67" s="135">
        <v>4314.3999999999996</v>
      </c>
      <c r="C67" s="139">
        <f t="shared" si="0"/>
        <v>1.5451603412768375</v>
      </c>
      <c r="E67" s="136">
        <v>44375</v>
      </c>
      <c r="F67" s="137">
        <v>53126.73</v>
      </c>
      <c r="G67" s="139">
        <f t="shared" si="1"/>
        <v>0.47198071908551764</v>
      </c>
    </row>
    <row r="68" spans="1:7" ht="16.2" thickBot="1" x14ac:dyDescent="0.35">
      <c r="A68" s="134">
        <v>44376</v>
      </c>
      <c r="B68" s="135">
        <v>4356.1499999999996</v>
      </c>
      <c r="C68" s="139">
        <f t="shared" si="0"/>
        <v>0.96768959762655293</v>
      </c>
      <c r="E68" s="136">
        <v>44376</v>
      </c>
      <c r="F68" s="137">
        <v>52795.76</v>
      </c>
      <c r="G68" s="139">
        <f t="shared" si="1"/>
        <v>-0.62298206571343862</v>
      </c>
    </row>
    <row r="69" spans="1:7" ht="16.2" thickBot="1" x14ac:dyDescent="0.35">
      <c r="A69" s="134">
        <v>44377</v>
      </c>
      <c r="B69" s="135">
        <v>4408.25</v>
      </c>
      <c r="C69" s="139">
        <f t="shared" si="0"/>
        <v>1.1960102383985944</v>
      </c>
      <c r="E69" s="136">
        <v>44377</v>
      </c>
      <c r="F69" s="137">
        <v>52651.09</v>
      </c>
      <c r="G69" s="139">
        <f t="shared" si="1"/>
        <v>-0.27401821661437498</v>
      </c>
    </row>
    <row r="70" spans="1:7" ht="16.2" thickBot="1" x14ac:dyDescent="0.35">
      <c r="A70" s="140">
        <v>44378</v>
      </c>
      <c r="B70" s="135">
        <v>4435.7</v>
      </c>
      <c r="C70" s="139">
        <f t="shared" si="0"/>
        <v>0.62269608121136089</v>
      </c>
      <c r="E70" s="136">
        <v>44378</v>
      </c>
      <c r="F70" s="137">
        <v>52638.5</v>
      </c>
      <c r="G70" s="139">
        <f t="shared" si="1"/>
        <v>-2.3912135532230212E-2</v>
      </c>
    </row>
    <row r="71" spans="1:7" ht="16.2" thickBot="1" x14ac:dyDescent="0.35">
      <c r="A71" s="140">
        <v>44379</v>
      </c>
      <c r="B71" s="135">
        <v>4519.6499999999996</v>
      </c>
      <c r="C71" s="139">
        <f t="shared" si="0"/>
        <v>1.8925986879184755</v>
      </c>
      <c r="E71" s="136">
        <v>44379</v>
      </c>
      <c r="F71" s="137">
        <v>52434.55</v>
      </c>
      <c r="G71" s="139">
        <f t="shared" si="1"/>
        <v>-0.3874540497924468</v>
      </c>
    </row>
    <row r="72" spans="1:7" ht="16.2" thickBot="1" x14ac:dyDescent="0.35">
      <c r="A72" s="140">
        <v>44382</v>
      </c>
      <c r="B72" s="135">
        <v>4559.95</v>
      </c>
      <c r="C72" s="139">
        <f t="shared" ref="C72:C135" si="2">(B72-B71)/B71*100</f>
        <v>0.89166196497516803</v>
      </c>
      <c r="E72" s="136">
        <v>44382</v>
      </c>
      <c r="F72" s="137">
        <v>52682.89</v>
      </c>
      <c r="G72" s="139">
        <f t="shared" ref="G72:G135" si="3">(F72-F71)/F71*100</f>
        <v>0.47361901646909627</v>
      </c>
    </row>
    <row r="73" spans="1:7" ht="16.2" thickBot="1" x14ac:dyDescent="0.35">
      <c r="A73" s="140">
        <v>44383</v>
      </c>
      <c r="B73" s="135">
        <v>4524.2</v>
      </c>
      <c r="C73" s="139">
        <f t="shared" si="2"/>
        <v>-0.78399982455947992</v>
      </c>
      <c r="E73" s="136">
        <v>44383</v>
      </c>
      <c r="F73" s="137">
        <v>52874.85</v>
      </c>
      <c r="G73" s="139">
        <f t="shared" si="3"/>
        <v>0.36436877323927963</v>
      </c>
    </row>
    <row r="74" spans="1:7" ht="16.2" thickBot="1" x14ac:dyDescent="0.35">
      <c r="A74" s="140">
        <v>44384</v>
      </c>
      <c r="B74" s="135">
        <v>4552.55</v>
      </c>
      <c r="C74" s="139">
        <f t="shared" si="2"/>
        <v>0.62663012245259642</v>
      </c>
      <c r="E74" s="136">
        <v>44384</v>
      </c>
      <c r="F74" s="137">
        <v>52919.71</v>
      </c>
      <c r="G74" s="139">
        <f t="shared" si="3"/>
        <v>8.4841848251107257E-2</v>
      </c>
    </row>
    <row r="75" spans="1:7" ht="16.2" thickBot="1" x14ac:dyDescent="0.35">
      <c r="A75" s="140">
        <v>44385</v>
      </c>
      <c r="B75" s="135">
        <v>4510.5</v>
      </c>
      <c r="C75" s="139">
        <f t="shared" si="2"/>
        <v>-0.92365816959726255</v>
      </c>
      <c r="E75" s="136">
        <v>44385</v>
      </c>
      <c r="F75" s="137">
        <v>53065.69</v>
      </c>
      <c r="G75" s="139">
        <f t="shared" si="3"/>
        <v>0.27585185179586813</v>
      </c>
    </row>
    <row r="76" spans="1:7" ht="16.2" thickBot="1" x14ac:dyDescent="0.35">
      <c r="A76" s="140">
        <v>44386</v>
      </c>
      <c r="B76" s="135">
        <v>4599.7</v>
      </c>
      <c r="C76" s="139">
        <f t="shared" si="2"/>
        <v>1.9776078040128549</v>
      </c>
      <c r="E76" s="136">
        <v>44386</v>
      </c>
      <c r="F76" s="137">
        <v>52508.24</v>
      </c>
      <c r="G76" s="139">
        <f t="shared" si="3"/>
        <v>-1.0504904393026915</v>
      </c>
    </row>
    <row r="77" spans="1:7" ht="16.2" thickBot="1" x14ac:dyDescent="0.35">
      <c r="A77" s="140">
        <v>44389</v>
      </c>
      <c r="B77" s="135">
        <v>4588.75</v>
      </c>
      <c r="C77" s="139">
        <f t="shared" si="2"/>
        <v>-0.2380590038480731</v>
      </c>
      <c r="E77" s="136">
        <v>44389</v>
      </c>
      <c r="F77" s="137">
        <v>52634.33</v>
      </c>
      <c r="G77" s="139">
        <f t="shared" si="3"/>
        <v>0.24013373900935125</v>
      </c>
    </row>
    <row r="78" spans="1:7" ht="16.2" thickBot="1" x14ac:dyDescent="0.35">
      <c r="A78" s="134">
        <v>44390</v>
      </c>
      <c r="B78" s="135">
        <v>4606.05</v>
      </c>
      <c r="C78" s="139">
        <f t="shared" si="2"/>
        <v>0.37700898937619576</v>
      </c>
      <c r="E78" s="136">
        <v>44390</v>
      </c>
      <c r="F78" s="137">
        <v>52694.89</v>
      </c>
      <c r="G78" s="139">
        <f t="shared" si="3"/>
        <v>0.11505798591907158</v>
      </c>
    </row>
    <row r="79" spans="1:7" ht="16.2" thickBot="1" x14ac:dyDescent="0.35">
      <c r="A79" s="134">
        <v>44391</v>
      </c>
      <c r="B79" s="135">
        <v>4623.2</v>
      </c>
      <c r="C79" s="139">
        <f t="shared" si="2"/>
        <v>0.37233638366929656</v>
      </c>
      <c r="E79" s="136">
        <v>44391</v>
      </c>
      <c r="F79" s="137">
        <v>52801.440000000002</v>
      </c>
      <c r="G79" s="139">
        <f t="shared" si="3"/>
        <v>0.20220176946949298</v>
      </c>
    </row>
    <row r="80" spans="1:7" ht="16.2" thickBot="1" x14ac:dyDescent="0.35">
      <c r="A80" s="134">
        <v>44392</v>
      </c>
      <c r="B80" s="135">
        <v>4607.3</v>
      </c>
      <c r="C80" s="139">
        <f t="shared" si="2"/>
        <v>-0.34391763280843651</v>
      </c>
      <c r="E80" s="136">
        <v>44392</v>
      </c>
      <c r="F80" s="137">
        <v>52968.89</v>
      </c>
      <c r="G80" s="139">
        <f t="shared" si="3"/>
        <v>0.31713150247416938</v>
      </c>
    </row>
    <row r="81" spans="1:7" ht="16.2" thickBot="1" x14ac:dyDescent="0.35">
      <c r="A81" s="134">
        <v>44393</v>
      </c>
      <c r="B81" s="135">
        <v>4757.6000000000004</v>
      </c>
      <c r="C81" s="139">
        <f t="shared" si="2"/>
        <v>3.2622143120699798</v>
      </c>
      <c r="E81" s="136">
        <v>44393</v>
      </c>
      <c r="F81" s="137">
        <v>53244.4</v>
      </c>
      <c r="G81" s="139">
        <f t="shared" si="3"/>
        <v>0.52013549840293438</v>
      </c>
    </row>
    <row r="82" spans="1:7" ht="16.2" thickBot="1" x14ac:dyDescent="0.35">
      <c r="A82" s="134">
        <v>44396</v>
      </c>
      <c r="B82" s="135">
        <v>4807.45</v>
      </c>
      <c r="C82" s="139">
        <f t="shared" si="2"/>
        <v>1.0477972086766323</v>
      </c>
      <c r="E82" s="136">
        <v>44396</v>
      </c>
      <c r="F82" s="137">
        <v>52606.99</v>
      </c>
      <c r="G82" s="139">
        <f t="shared" si="3"/>
        <v>-1.1971399809181877</v>
      </c>
    </row>
    <row r="83" spans="1:7" ht="16.2" thickBot="1" x14ac:dyDescent="0.35">
      <c r="A83" s="134">
        <v>44397</v>
      </c>
      <c r="B83" s="135">
        <v>4787.8500000000004</v>
      </c>
      <c r="C83" s="139">
        <f t="shared" si="2"/>
        <v>-0.4077005481076133</v>
      </c>
      <c r="E83" s="136">
        <v>44397</v>
      </c>
      <c r="F83" s="137">
        <v>52432.88</v>
      </c>
      <c r="G83" s="139">
        <f t="shared" si="3"/>
        <v>-0.33096362289498144</v>
      </c>
    </row>
    <row r="84" spans="1:7" ht="16.2" thickBot="1" x14ac:dyDescent="0.35">
      <c r="A84" s="134">
        <v>44399</v>
      </c>
      <c r="B84" s="135">
        <v>4843.25</v>
      </c>
      <c r="C84" s="139">
        <f t="shared" si="2"/>
        <v>1.1570955648150973</v>
      </c>
      <c r="E84" s="136">
        <v>44399</v>
      </c>
      <c r="F84" s="137">
        <v>52494.559999999998</v>
      </c>
      <c r="G84" s="139">
        <f t="shared" si="3"/>
        <v>0.1176361092505319</v>
      </c>
    </row>
    <row r="85" spans="1:7" ht="16.2" thickBot="1" x14ac:dyDescent="0.35">
      <c r="A85" s="134">
        <v>44400</v>
      </c>
      <c r="B85" s="135">
        <v>4824.75</v>
      </c>
      <c r="C85" s="139">
        <f t="shared" si="2"/>
        <v>-0.38197491353946211</v>
      </c>
      <c r="E85" s="136">
        <v>44400</v>
      </c>
      <c r="F85" s="137">
        <v>52967.87</v>
      </c>
      <c r="G85" s="139">
        <f t="shared" si="3"/>
        <v>0.90163628383589633</v>
      </c>
    </row>
    <row r="86" spans="1:7" ht="16.2" thickBot="1" x14ac:dyDescent="0.35">
      <c r="A86" s="134">
        <v>44403</v>
      </c>
      <c r="B86" s="135">
        <v>4921.1499999999996</v>
      </c>
      <c r="C86" s="139">
        <f t="shared" si="2"/>
        <v>1.9980309860614462</v>
      </c>
      <c r="E86" s="136">
        <v>44403</v>
      </c>
      <c r="F86" s="137">
        <v>52985.26</v>
      </c>
      <c r="G86" s="139">
        <f t="shared" si="3"/>
        <v>3.2831223909889934E-2</v>
      </c>
    </row>
    <row r="87" spans="1:7" ht="16.2" thickBot="1" x14ac:dyDescent="0.35">
      <c r="A87" s="134">
        <v>44404</v>
      </c>
      <c r="B87" s="135">
        <v>4791.3999999999996</v>
      </c>
      <c r="C87" s="139">
        <f t="shared" si="2"/>
        <v>-2.6365788484398975</v>
      </c>
      <c r="E87" s="136">
        <v>44404</v>
      </c>
      <c r="F87" s="137">
        <v>52995.72</v>
      </c>
      <c r="G87" s="139">
        <f t="shared" si="3"/>
        <v>1.9741339383819435E-2</v>
      </c>
    </row>
    <row r="88" spans="1:7" ht="16.2" thickBot="1" x14ac:dyDescent="0.35">
      <c r="A88" s="134">
        <v>44405</v>
      </c>
      <c r="B88" s="135">
        <v>4890.6000000000004</v>
      </c>
      <c r="C88" s="139">
        <f t="shared" si="2"/>
        <v>2.0703760904954862</v>
      </c>
      <c r="E88" s="136">
        <v>44405</v>
      </c>
      <c r="F88" s="137">
        <v>52673.69</v>
      </c>
      <c r="G88" s="139">
        <f t="shared" si="3"/>
        <v>-0.6076528444183773</v>
      </c>
    </row>
    <row r="89" spans="1:7" ht="16.2" thickBot="1" x14ac:dyDescent="0.35">
      <c r="A89" s="134">
        <v>44406</v>
      </c>
      <c r="B89" s="135">
        <v>4843.8</v>
      </c>
      <c r="C89" s="139">
        <f t="shared" si="2"/>
        <v>-0.95693779904306586</v>
      </c>
      <c r="E89" s="136">
        <v>44406</v>
      </c>
      <c r="F89" s="137">
        <v>52693.53</v>
      </c>
      <c r="G89" s="139">
        <f t="shared" si="3"/>
        <v>3.7665863166215445E-2</v>
      </c>
    </row>
    <row r="90" spans="1:7" ht="16.2" thickBot="1" x14ac:dyDescent="0.35">
      <c r="A90" s="134">
        <v>44407</v>
      </c>
      <c r="B90" s="135">
        <v>4906.1000000000004</v>
      </c>
      <c r="C90" s="139">
        <f t="shared" si="2"/>
        <v>1.2861802716875217</v>
      </c>
      <c r="E90" s="136">
        <v>44407</v>
      </c>
      <c r="F90" s="137">
        <v>52792.36</v>
      </c>
      <c r="G90" s="139">
        <f t="shared" si="3"/>
        <v>0.18755623318460871</v>
      </c>
    </row>
    <row r="91" spans="1:7" ht="16.2" thickBot="1" x14ac:dyDescent="0.35">
      <c r="A91" s="140">
        <v>44410</v>
      </c>
      <c r="B91" s="135">
        <v>4928.95</v>
      </c>
      <c r="C91" s="139">
        <f t="shared" si="2"/>
        <v>0.46574672346669355</v>
      </c>
      <c r="E91" s="136">
        <v>44410</v>
      </c>
      <c r="F91" s="137">
        <v>52901.279999999999</v>
      </c>
      <c r="G91" s="139">
        <f t="shared" si="3"/>
        <v>0.20631773233853959</v>
      </c>
    </row>
    <row r="92" spans="1:7" ht="16.2" thickBot="1" x14ac:dyDescent="0.35">
      <c r="A92" s="140">
        <v>44411</v>
      </c>
      <c r="B92" s="135">
        <v>5006.8500000000004</v>
      </c>
      <c r="C92" s="139">
        <f t="shared" si="2"/>
        <v>1.580458312622375</v>
      </c>
      <c r="E92" s="136">
        <v>44411</v>
      </c>
      <c r="F92" s="137">
        <v>53125.97</v>
      </c>
      <c r="G92" s="139">
        <f t="shared" si="3"/>
        <v>0.42473452438202319</v>
      </c>
    </row>
    <row r="93" spans="1:7" ht="16.2" thickBot="1" x14ac:dyDescent="0.35">
      <c r="A93" s="140">
        <v>44412</v>
      </c>
      <c r="B93" s="135">
        <v>4964.25</v>
      </c>
      <c r="C93" s="139">
        <f t="shared" si="2"/>
        <v>-0.85083435693101184</v>
      </c>
      <c r="E93" s="136">
        <v>44412</v>
      </c>
      <c r="F93" s="137">
        <v>54071.22</v>
      </c>
      <c r="G93" s="139">
        <f t="shared" si="3"/>
        <v>1.7792616304229361</v>
      </c>
    </row>
    <row r="94" spans="1:7" ht="16.2" thickBot="1" x14ac:dyDescent="0.35">
      <c r="A94" s="140">
        <v>44413</v>
      </c>
      <c r="B94" s="135">
        <v>4923.55</v>
      </c>
      <c r="C94" s="139">
        <f t="shared" si="2"/>
        <v>-0.81986201339577613</v>
      </c>
      <c r="E94" s="136">
        <v>44413</v>
      </c>
      <c r="F94" s="137">
        <v>54576.639999999999</v>
      </c>
      <c r="G94" s="139">
        <f t="shared" si="3"/>
        <v>0.93473015774380197</v>
      </c>
    </row>
    <row r="95" spans="1:7" ht="16.2" thickBot="1" x14ac:dyDescent="0.35">
      <c r="A95" s="140">
        <v>44414</v>
      </c>
      <c r="B95" s="135">
        <v>4916</v>
      </c>
      <c r="C95" s="139">
        <f t="shared" si="2"/>
        <v>-0.15334463953854804</v>
      </c>
      <c r="E95" s="136">
        <v>44414</v>
      </c>
      <c r="F95" s="137">
        <v>54492.17</v>
      </c>
      <c r="G95" s="139">
        <f t="shared" si="3"/>
        <v>-0.15477317768188215</v>
      </c>
    </row>
    <row r="96" spans="1:7" ht="16.2" thickBot="1" x14ac:dyDescent="0.35">
      <c r="A96" s="140">
        <v>44417</v>
      </c>
      <c r="B96" s="135">
        <v>4905.7</v>
      </c>
      <c r="C96" s="139">
        <f t="shared" si="2"/>
        <v>-0.20951993490643167</v>
      </c>
      <c r="E96" s="136">
        <v>44417</v>
      </c>
      <c r="F96" s="137">
        <v>54385.71</v>
      </c>
      <c r="G96" s="139">
        <f t="shared" si="3"/>
        <v>-0.19536751793881421</v>
      </c>
    </row>
    <row r="97" spans="1:7" ht="16.2" thickBot="1" x14ac:dyDescent="0.35">
      <c r="A97" s="140">
        <v>44418</v>
      </c>
      <c r="B97" s="135">
        <v>4955.05</v>
      </c>
      <c r="C97" s="139">
        <f t="shared" si="2"/>
        <v>1.0059726440671131</v>
      </c>
      <c r="E97" s="136">
        <v>44418</v>
      </c>
      <c r="F97" s="137">
        <v>54461.31</v>
      </c>
      <c r="G97" s="139">
        <f t="shared" si="3"/>
        <v>0.13900710315264533</v>
      </c>
    </row>
    <row r="98" spans="1:7" ht="16.2" thickBot="1" x14ac:dyDescent="0.35">
      <c r="A98" s="140">
        <v>44419</v>
      </c>
      <c r="B98" s="135">
        <v>4919.1000000000004</v>
      </c>
      <c r="C98" s="139">
        <f t="shared" si="2"/>
        <v>-0.72552244679669864</v>
      </c>
      <c r="E98" s="136">
        <v>44419</v>
      </c>
      <c r="F98" s="137">
        <v>54730.65</v>
      </c>
      <c r="G98" s="139">
        <f t="shared" si="3"/>
        <v>0.49455292206523088</v>
      </c>
    </row>
    <row r="99" spans="1:7" ht="16.2" thickBot="1" x14ac:dyDescent="0.35">
      <c r="A99" s="140">
        <v>44420</v>
      </c>
      <c r="B99" s="135">
        <v>4908.8500000000004</v>
      </c>
      <c r="C99" s="139">
        <f t="shared" si="2"/>
        <v>-0.20837145006200319</v>
      </c>
      <c r="E99" s="136">
        <v>44420</v>
      </c>
      <c r="F99" s="137">
        <v>54641.22</v>
      </c>
      <c r="G99" s="139">
        <f t="shared" si="3"/>
        <v>-0.16340021541860053</v>
      </c>
    </row>
    <row r="100" spans="1:7" ht="16.2" thickBot="1" x14ac:dyDescent="0.35">
      <c r="A100" s="134">
        <v>44421</v>
      </c>
      <c r="B100" s="135">
        <v>4948.7</v>
      </c>
      <c r="C100" s="139">
        <f t="shared" si="2"/>
        <v>0.81179909754829449</v>
      </c>
      <c r="E100" s="136">
        <v>44421</v>
      </c>
      <c r="F100" s="137">
        <v>54911.95</v>
      </c>
      <c r="G100" s="139">
        <f t="shared" si="3"/>
        <v>0.49546843939428131</v>
      </c>
    </row>
    <row r="101" spans="1:7" ht="16.2" thickBot="1" x14ac:dyDescent="0.35">
      <c r="A101" s="134">
        <v>44424</v>
      </c>
      <c r="B101" s="135">
        <v>4898.95</v>
      </c>
      <c r="C101" s="139">
        <f t="shared" si="2"/>
        <v>-1.0053145270475075</v>
      </c>
      <c r="E101" s="136">
        <v>44424</v>
      </c>
      <c r="F101" s="137">
        <v>55479.74</v>
      </c>
      <c r="G101" s="139">
        <f t="shared" si="3"/>
        <v>1.0340007958194908</v>
      </c>
    </row>
    <row r="102" spans="1:7" ht="16.2" thickBot="1" x14ac:dyDescent="0.35">
      <c r="A102" s="134">
        <v>44425</v>
      </c>
      <c r="B102" s="135">
        <v>4908.3500000000004</v>
      </c>
      <c r="C102" s="139">
        <f t="shared" si="2"/>
        <v>0.19187785137632649</v>
      </c>
      <c r="E102" s="136">
        <v>44425</v>
      </c>
      <c r="F102" s="137">
        <v>55565.64</v>
      </c>
      <c r="G102" s="139">
        <f t="shared" si="3"/>
        <v>0.15483129517189781</v>
      </c>
    </row>
    <row r="103" spans="1:7" ht="16.2" thickBot="1" x14ac:dyDescent="0.35">
      <c r="A103" s="134">
        <v>44426</v>
      </c>
      <c r="B103" s="135">
        <v>4910.45</v>
      </c>
      <c r="C103" s="139">
        <f t="shared" si="2"/>
        <v>4.27842350280533E-2</v>
      </c>
      <c r="E103" s="136">
        <v>44426</v>
      </c>
      <c r="F103" s="137">
        <v>56073.31</v>
      </c>
      <c r="G103" s="139">
        <f t="shared" si="3"/>
        <v>0.91364015603887272</v>
      </c>
    </row>
    <row r="104" spans="1:7" ht="16.2" thickBot="1" x14ac:dyDescent="0.35">
      <c r="A104" s="134">
        <v>44428</v>
      </c>
      <c r="B104" s="135">
        <v>4818.7</v>
      </c>
      <c r="C104" s="139">
        <f t="shared" si="2"/>
        <v>-1.8684641937093343</v>
      </c>
      <c r="E104" s="136">
        <v>44428</v>
      </c>
      <c r="F104" s="137">
        <v>55159.13</v>
      </c>
      <c r="G104" s="139">
        <f t="shared" si="3"/>
        <v>-1.6303300090542192</v>
      </c>
    </row>
    <row r="105" spans="1:7" ht="16.2" thickBot="1" x14ac:dyDescent="0.35">
      <c r="A105" s="134">
        <v>44431</v>
      </c>
      <c r="B105" s="135">
        <v>4874.6499999999996</v>
      </c>
      <c r="C105" s="139">
        <f t="shared" si="2"/>
        <v>1.1611015419096398</v>
      </c>
      <c r="E105" s="136">
        <v>44431</v>
      </c>
      <c r="F105" s="137">
        <v>55695.839999999997</v>
      </c>
      <c r="G105" s="139">
        <f t="shared" si="3"/>
        <v>0.97302114808554652</v>
      </c>
    </row>
    <row r="106" spans="1:7" ht="16.2" thickBot="1" x14ac:dyDescent="0.35">
      <c r="A106" s="134">
        <v>44432</v>
      </c>
      <c r="B106" s="135">
        <v>4863.2</v>
      </c>
      <c r="C106" s="139">
        <f t="shared" si="2"/>
        <v>-0.23488865867292663</v>
      </c>
      <c r="E106" s="136">
        <v>44432</v>
      </c>
      <c r="F106" s="137">
        <v>55647.11</v>
      </c>
      <c r="G106" s="139">
        <f t="shared" si="3"/>
        <v>-8.7493069500335988E-2</v>
      </c>
    </row>
    <row r="107" spans="1:7" ht="16.2" thickBot="1" x14ac:dyDescent="0.35">
      <c r="A107" s="134">
        <v>44433</v>
      </c>
      <c r="B107" s="135">
        <v>4856.5</v>
      </c>
      <c r="C107" s="139">
        <f t="shared" si="2"/>
        <v>-0.1377693699621611</v>
      </c>
      <c r="E107" s="136">
        <v>44433</v>
      </c>
      <c r="F107" s="137">
        <v>56067.06</v>
      </c>
      <c r="G107" s="139">
        <f t="shared" si="3"/>
        <v>0.75466632498973818</v>
      </c>
    </row>
    <row r="108" spans="1:7" ht="16.2" thickBot="1" x14ac:dyDescent="0.35">
      <c r="A108" s="134">
        <v>44434</v>
      </c>
      <c r="B108" s="135">
        <v>4846.7</v>
      </c>
      <c r="C108" s="139">
        <f t="shared" si="2"/>
        <v>-0.20179141356944677</v>
      </c>
      <c r="E108" s="136">
        <v>44434</v>
      </c>
      <c r="F108" s="137">
        <v>55988.41</v>
      </c>
      <c r="G108" s="139">
        <f t="shared" si="3"/>
        <v>-0.14027844513337098</v>
      </c>
    </row>
    <row r="109" spans="1:7" ht="16.2" thickBot="1" x14ac:dyDescent="0.35">
      <c r="A109" s="134">
        <v>44435</v>
      </c>
      <c r="B109" s="135">
        <v>4910.7</v>
      </c>
      <c r="C109" s="139">
        <f t="shared" si="2"/>
        <v>1.3204861039470155</v>
      </c>
      <c r="E109" s="136">
        <v>44435</v>
      </c>
      <c r="F109" s="137">
        <v>55862.93</v>
      </c>
      <c r="G109" s="139">
        <f t="shared" si="3"/>
        <v>-0.22411781295450825</v>
      </c>
    </row>
    <row r="110" spans="1:7" ht="16.2" thickBot="1" x14ac:dyDescent="0.35">
      <c r="A110" s="134">
        <v>44438</v>
      </c>
      <c r="B110" s="135">
        <v>5104.25</v>
      </c>
      <c r="C110" s="139">
        <f t="shared" si="2"/>
        <v>3.941393284053194</v>
      </c>
      <c r="E110" s="136">
        <v>44438</v>
      </c>
      <c r="F110" s="137">
        <v>56329.25</v>
      </c>
      <c r="G110" s="139">
        <f t="shared" si="3"/>
        <v>0.8347575037685987</v>
      </c>
    </row>
    <row r="111" spans="1:7" ht="16.2" thickBot="1" x14ac:dyDescent="0.35">
      <c r="A111" s="134">
        <v>44439</v>
      </c>
      <c r="B111" s="135">
        <v>5173.6000000000004</v>
      </c>
      <c r="C111" s="139">
        <f t="shared" si="2"/>
        <v>1.3586716951560047</v>
      </c>
      <c r="E111" s="136">
        <v>44439</v>
      </c>
      <c r="F111" s="137">
        <v>56995.15</v>
      </c>
      <c r="G111" s="139">
        <f t="shared" si="3"/>
        <v>1.1821566947900095</v>
      </c>
    </row>
    <row r="112" spans="1:7" ht="16.2" thickBot="1" x14ac:dyDescent="0.35">
      <c r="A112" s="140">
        <v>44440</v>
      </c>
      <c r="B112" s="135">
        <v>5202.6499999999996</v>
      </c>
      <c r="C112" s="139">
        <f t="shared" si="2"/>
        <v>0.56150456162052087</v>
      </c>
      <c r="E112" s="136">
        <v>44440</v>
      </c>
      <c r="F112" s="137">
        <v>57763.53</v>
      </c>
      <c r="G112" s="139">
        <f t="shared" si="3"/>
        <v>1.3481497987109383</v>
      </c>
    </row>
    <row r="113" spans="1:7" ht="16.2" thickBot="1" x14ac:dyDescent="0.35">
      <c r="A113" s="140">
        <v>44441</v>
      </c>
      <c r="B113" s="135">
        <v>5165.55</v>
      </c>
      <c r="C113" s="139">
        <f t="shared" si="2"/>
        <v>-0.71309813268237254</v>
      </c>
      <c r="E113" s="136">
        <v>44441</v>
      </c>
      <c r="F113" s="137">
        <v>57423.65</v>
      </c>
      <c r="G113" s="139">
        <f t="shared" si="3"/>
        <v>-0.58839894307012985</v>
      </c>
    </row>
    <row r="114" spans="1:7" ht="16.2" thickBot="1" x14ac:dyDescent="0.35">
      <c r="A114" s="140">
        <v>44442</v>
      </c>
      <c r="B114" s="135">
        <v>5208.3</v>
      </c>
      <c r="C114" s="139">
        <f t="shared" si="2"/>
        <v>0.82759822284171092</v>
      </c>
      <c r="E114" s="136">
        <v>44442</v>
      </c>
      <c r="F114" s="137">
        <v>57983.45</v>
      </c>
      <c r="G114" s="139">
        <f t="shared" si="3"/>
        <v>0.97485966148093262</v>
      </c>
    </row>
    <row r="115" spans="1:7" ht="16.2" thickBot="1" x14ac:dyDescent="0.35">
      <c r="A115" s="140">
        <v>44445</v>
      </c>
      <c r="B115" s="135">
        <v>5205.1000000000004</v>
      </c>
      <c r="C115" s="139">
        <f t="shared" si="2"/>
        <v>-6.1440393218513106E-2</v>
      </c>
      <c r="E115" s="136">
        <v>44445</v>
      </c>
      <c r="F115" s="137">
        <v>58411.62</v>
      </c>
      <c r="G115" s="139">
        <f t="shared" si="3"/>
        <v>0.7384348464950008</v>
      </c>
    </row>
    <row r="116" spans="1:7" ht="16.2" thickBot="1" x14ac:dyDescent="0.35">
      <c r="A116" s="140">
        <v>44446</v>
      </c>
      <c r="B116" s="135">
        <v>5210.1000000000004</v>
      </c>
      <c r="C116" s="139">
        <f t="shared" si="2"/>
        <v>9.6059633820675866E-2</v>
      </c>
      <c r="E116" s="136">
        <v>44446</v>
      </c>
      <c r="F116" s="137">
        <v>58418.69</v>
      </c>
      <c r="G116" s="139">
        <f t="shared" si="3"/>
        <v>1.2103756067713425E-2</v>
      </c>
    </row>
    <row r="117" spans="1:7" ht="16.2" thickBot="1" x14ac:dyDescent="0.35">
      <c r="A117" s="140">
        <v>44447</v>
      </c>
      <c r="B117" s="135">
        <v>5085.05</v>
      </c>
      <c r="C117" s="139">
        <f t="shared" si="2"/>
        <v>-2.4001458705207224</v>
      </c>
      <c r="E117" s="136">
        <v>44447</v>
      </c>
      <c r="F117" s="137">
        <v>58350.559999999998</v>
      </c>
      <c r="G117" s="139">
        <f t="shared" si="3"/>
        <v>-0.11662363534684646</v>
      </c>
    </row>
    <row r="118" spans="1:7" ht="16.2" thickBot="1" x14ac:dyDescent="0.35">
      <c r="A118" s="140">
        <v>44448</v>
      </c>
      <c r="B118" s="135">
        <v>5054.8999999999996</v>
      </c>
      <c r="C118" s="139">
        <f t="shared" si="2"/>
        <v>-0.5929145239476612</v>
      </c>
      <c r="E118" s="136">
        <v>44448</v>
      </c>
      <c r="F118" s="137">
        <v>58172.98</v>
      </c>
      <c r="G118" s="139">
        <f t="shared" si="3"/>
        <v>-0.30433298326527541</v>
      </c>
    </row>
    <row r="119" spans="1:7" ht="16.2" thickBot="1" x14ac:dyDescent="0.35">
      <c r="A119" s="134">
        <v>44452</v>
      </c>
      <c r="B119" s="135">
        <v>5085.2</v>
      </c>
      <c r="C119" s="139">
        <f t="shared" si="2"/>
        <v>0.59941838612040166</v>
      </c>
      <c r="E119" s="136">
        <v>44452</v>
      </c>
      <c r="F119" s="137">
        <v>58262.11</v>
      </c>
      <c r="G119" s="139">
        <f t="shared" si="3"/>
        <v>0.15321546188625265</v>
      </c>
    </row>
    <row r="120" spans="1:7" ht="16.2" thickBot="1" x14ac:dyDescent="0.35">
      <c r="A120" s="134">
        <v>44453</v>
      </c>
      <c r="B120" s="135">
        <v>5094.8500000000004</v>
      </c>
      <c r="C120" s="139">
        <f t="shared" si="2"/>
        <v>0.18976638086998635</v>
      </c>
      <c r="E120" s="136">
        <v>44453</v>
      </c>
      <c r="F120" s="137">
        <v>58482.62</v>
      </c>
      <c r="G120" s="139">
        <f t="shared" si="3"/>
        <v>0.37847925521406972</v>
      </c>
    </row>
    <row r="121" spans="1:7" ht="16.2" thickBot="1" x14ac:dyDescent="0.35">
      <c r="A121" s="134">
        <v>44454</v>
      </c>
      <c r="B121" s="135">
        <v>5158.8999999999996</v>
      </c>
      <c r="C121" s="139">
        <f t="shared" si="2"/>
        <v>1.2571518297888902</v>
      </c>
      <c r="E121" s="136">
        <v>44454</v>
      </c>
      <c r="F121" s="137">
        <v>58354.11</v>
      </c>
      <c r="G121" s="139">
        <f t="shared" si="3"/>
        <v>-0.21974049726226705</v>
      </c>
    </row>
    <row r="122" spans="1:7" ht="16.2" thickBot="1" x14ac:dyDescent="0.35">
      <c r="A122" s="134">
        <v>44455</v>
      </c>
      <c r="B122" s="135">
        <v>5166.8999999999996</v>
      </c>
      <c r="C122" s="139">
        <f t="shared" si="2"/>
        <v>0.15507181763554248</v>
      </c>
      <c r="E122" s="136">
        <v>44455</v>
      </c>
      <c r="F122" s="137">
        <v>58881.04</v>
      </c>
      <c r="G122" s="139">
        <f t="shared" si="3"/>
        <v>0.90298695327544254</v>
      </c>
    </row>
    <row r="123" spans="1:7" ht="16.2" thickBot="1" x14ac:dyDescent="0.35">
      <c r="A123" s="134">
        <v>44456</v>
      </c>
      <c r="B123" s="135">
        <v>5122.8</v>
      </c>
      <c r="C123" s="139">
        <f t="shared" si="2"/>
        <v>-0.85350984149101894</v>
      </c>
      <c r="E123" s="136">
        <v>44456</v>
      </c>
      <c r="F123" s="137">
        <v>59409.98</v>
      </c>
      <c r="G123" s="139">
        <f t="shared" si="3"/>
        <v>0.89831973076562899</v>
      </c>
    </row>
    <row r="124" spans="1:7" ht="16.2" thickBot="1" x14ac:dyDescent="0.35">
      <c r="A124" s="134">
        <v>44459</v>
      </c>
      <c r="B124" s="135">
        <v>5110.1000000000004</v>
      </c>
      <c r="C124" s="139">
        <f t="shared" si="2"/>
        <v>-0.24791129850862456</v>
      </c>
      <c r="E124" s="136">
        <v>44459</v>
      </c>
      <c r="F124" s="137">
        <v>58634.69</v>
      </c>
      <c r="G124" s="139">
        <f t="shared" si="3"/>
        <v>-1.3049827655218884</v>
      </c>
    </row>
    <row r="125" spans="1:7" ht="16.2" thickBot="1" x14ac:dyDescent="0.35">
      <c r="A125" s="134">
        <v>44460</v>
      </c>
      <c r="B125" s="135">
        <v>5179.45</v>
      </c>
      <c r="C125" s="139">
        <f t="shared" si="2"/>
        <v>1.3571162990939405</v>
      </c>
      <c r="E125" s="136">
        <v>44460</v>
      </c>
      <c r="F125" s="137">
        <v>58630.06</v>
      </c>
      <c r="G125" s="139">
        <f t="shared" si="3"/>
        <v>-7.8963494136400428E-3</v>
      </c>
    </row>
    <row r="126" spans="1:7" ht="16.2" thickBot="1" x14ac:dyDescent="0.35">
      <c r="A126" s="134">
        <v>44461</v>
      </c>
      <c r="B126" s="135">
        <v>5139.8999999999996</v>
      </c>
      <c r="C126" s="139">
        <f t="shared" si="2"/>
        <v>-0.76359459015919029</v>
      </c>
      <c r="E126" s="136">
        <v>44461</v>
      </c>
      <c r="F126" s="137">
        <v>59166.15</v>
      </c>
      <c r="G126" s="139">
        <f t="shared" si="3"/>
        <v>0.91436031278153873</v>
      </c>
    </row>
    <row r="127" spans="1:7" ht="16.2" thickBot="1" x14ac:dyDescent="0.35">
      <c r="A127" s="134">
        <v>44462</v>
      </c>
      <c r="B127" s="135">
        <v>5212.1000000000004</v>
      </c>
      <c r="C127" s="139">
        <f t="shared" si="2"/>
        <v>1.404696589427824</v>
      </c>
      <c r="E127" s="136">
        <v>44462</v>
      </c>
      <c r="F127" s="137">
        <v>59358.18</v>
      </c>
      <c r="G127" s="139">
        <f t="shared" si="3"/>
        <v>0.32456058066985738</v>
      </c>
    </row>
    <row r="128" spans="1:7" ht="16.2" thickBot="1" x14ac:dyDescent="0.35">
      <c r="A128" s="134">
        <v>44463</v>
      </c>
      <c r="B128" s="135">
        <v>5108.55</v>
      </c>
      <c r="C128" s="139">
        <f t="shared" si="2"/>
        <v>-1.9867232017804757</v>
      </c>
      <c r="E128" s="136">
        <v>44463</v>
      </c>
      <c r="F128" s="137">
        <v>60158.76</v>
      </c>
      <c r="G128" s="139">
        <f t="shared" si="3"/>
        <v>1.3487273363165815</v>
      </c>
    </row>
    <row r="129" spans="1:7" ht="16.2" thickBot="1" x14ac:dyDescent="0.35">
      <c r="A129" s="134">
        <v>44466</v>
      </c>
      <c r="B129" s="135">
        <v>4932.55</v>
      </c>
      <c r="C129" s="139">
        <f t="shared" si="2"/>
        <v>-3.4452046079611631</v>
      </c>
      <c r="E129" s="136">
        <v>44466</v>
      </c>
      <c r="F129" s="137">
        <v>60303.79</v>
      </c>
      <c r="G129" s="139">
        <f t="shared" si="3"/>
        <v>0.24107877223533003</v>
      </c>
    </row>
    <row r="130" spans="1:7" ht="16.2" thickBot="1" x14ac:dyDescent="0.35">
      <c r="A130" s="134">
        <v>44467</v>
      </c>
      <c r="B130" s="135">
        <v>4784.05</v>
      </c>
      <c r="C130" s="139">
        <f t="shared" si="2"/>
        <v>-3.0106131716860447</v>
      </c>
      <c r="E130" s="136">
        <v>44467</v>
      </c>
      <c r="F130" s="137">
        <v>60285.89</v>
      </c>
      <c r="G130" s="139">
        <f t="shared" si="3"/>
        <v>-2.968304313875041E-2</v>
      </c>
    </row>
    <row r="131" spans="1:7" ht="16.2" thickBot="1" x14ac:dyDescent="0.35">
      <c r="A131" s="134">
        <v>44468</v>
      </c>
      <c r="B131" s="135">
        <v>4806.45</v>
      </c>
      <c r="C131" s="139">
        <f t="shared" si="2"/>
        <v>0.46822253111902334</v>
      </c>
      <c r="E131" s="136">
        <v>44468</v>
      </c>
      <c r="F131" s="137">
        <v>59296.54</v>
      </c>
      <c r="G131" s="139">
        <f t="shared" si="3"/>
        <v>-1.6410971124420632</v>
      </c>
    </row>
    <row r="132" spans="1:7" ht="16.2" thickBot="1" x14ac:dyDescent="0.35">
      <c r="A132" s="134">
        <v>44469</v>
      </c>
      <c r="B132" s="135">
        <v>4798.7</v>
      </c>
      <c r="C132" s="139">
        <f t="shared" si="2"/>
        <v>-0.16124166484619626</v>
      </c>
      <c r="E132" s="136">
        <v>44469</v>
      </c>
      <c r="F132" s="137">
        <v>59549.57</v>
      </c>
      <c r="G132" s="139">
        <f t="shared" si="3"/>
        <v>0.42671967032140296</v>
      </c>
    </row>
    <row r="133" spans="1:7" ht="16.2" thickBot="1" x14ac:dyDescent="0.35">
      <c r="A133" s="140">
        <v>44470</v>
      </c>
      <c r="B133" s="135">
        <v>4832.3</v>
      </c>
      <c r="C133" s="139">
        <f t="shared" si="2"/>
        <v>0.70018963469273698</v>
      </c>
      <c r="E133" s="136">
        <v>44470</v>
      </c>
      <c r="F133" s="137">
        <v>58889.77</v>
      </c>
      <c r="G133" s="139">
        <f t="shared" si="3"/>
        <v>-1.1079844909039693</v>
      </c>
    </row>
    <row r="134" spans="1:7" ht="16.2" thickBot="1" x14ac:dyDescent="0.35">
      <c r="A134" s="140">
        <v>44473</v>
      </c>
      <c r="B134" s="135">
        <v>5220.7</v>
      </c>
      <c r="C134" s="139">
        <f t="shared" si="2"/>
        <v>8.0375804482337525</v>
      </c>
      <c r="E134" s="136">
        <v>44473</v>
      </c>
      <c r="F134" s="137">
        <v>59143</v>
      </c>
      <c r="G134" s="139">
        <f t="shared" si="3"/>
        <v>0.43000677367224088</v>
      </c>
    </row>
    <row r="135" spans="1:7" ht="16.2" thickBot="1" x14ac:dyDescent="0.35">
      <c r="A135" s="140">
        <v>44474</v>
      </c>
      <c r="B135" s="135">
        <v>5217.8500000000004</v>
      </c>
      <c r="C135" s="139">
        <f t="shared" si="2"/>
        <v>-5.4590380600292185E-2</v>
      </c>
      <c r="E135" s="136">
        <v>44474</v>
      </c>
      <c r="F135" s="137">
        <v>59320.14</v>
      </c>
      <c r="G135" s="139">
        <f t="shared" si="3"/>
        <v>0.29951135383730859</v>
      </c>
    </row>
    <row r="136" spans="1:7" ht="16.2" thickBot="1" x14ac:dyDescent="0.35">
      <c r="A136" s="140">
        <v>44475</v>
      </c>
      <c r="B136" s="135">
        <v>5136.55</v>
      </c>
      <c r="C136" s="139">
        <f t="shared" ref="C136:C199" si="4">(B136-B135)/B135*100</f>
        <v>-1.5581130158973557</v>
      </c>
      <c r="E136" s="136">
        <v>44475</v>
      </c>
      <c r="F136" s="137">
        <v>59942</v>
      </c>
      <c r="G136" s="139">
        <f t="shared" ref="G136:G199" si="5">(F136-F135)/F135*100</f>
        <v>1.0483117538158215</v>
      </c>
    </row>
    <row r="137" spans="1:7" ht="16.2" thickBot="1" x14ac:dyDescent="0.35">
      <c r="A137" s="140">
        <v>44476</v>
      </c>
      <c r="B137" s="135">
        <v>5097.8500000000004</v>
      </c>
      <c r="C137" s="139">
        <f t="shared" si="4"/>
        <v>-0.75342399081094924</v>
      </c>
      <c r="E137" s="136">
        <v>44476</v>
      </c>
      <c r="F137" s="137">
        <v>59632.81</v>
      </c>
      <c r="G137" s="139">
        <f t="shared" si="5"/>
        <v>-0.51581528811184529</v>
      </c>
    </row>
    <row r="138" spans="1:7" ht="16.2" thickBot="1" x14ac:dyDescent="0.35">
      <c r="A138" s="140">
        <v>44477</v>
      </c>
      <c r="B138" s="135">
        <v>5071.3</v>
      </c>
      <c r="C138" s="139">
        <f t="shared" si="4"/>
        <v>-0.52080779151995804</v>
      </c>
      <c r="E138" s="136">
        <v>44477</v>
      </c>
      <c r="F138" s="137">
        <v>59960.39</v>
      </c>
      <c r="G138" s="139">
        <f t="shared" si="5"/>
        <v>0.54932846531968182</v>
      </c>
    </row>
    <row r="139" spans="1:7" ht="16.2" thickBot="1" x14ac:dyDescent="0.35">
      <c r="A139" s="140">
        <v>44480</v>
      </c>
      <c r="B139" s="135">
        <v>5143.05</v>
      </c>
      <c r="C139" s="139">
        <f t="shared" si="4"/>
        <v>1.4148246011870722</v>
      </c>
      <c r="E139" s="136">
        <v>44480</v>
      </c>
      <c r="F139" s="137">
        <v>60099.68</v>
      </c>
      <c r="G139" s="139">
        <f t="shared" si="5"/>
        <v>0.23230335893412446</v>
      </c>
    </row>
    <row r="140" spans="1:7" ht="16.2" thickBot="1" x14ac:dyDescent="0.35">
      <c r="A140" s="140">
        <v>44481</v>
      </c>
      <c r="B140" s="135">
        <v>5225.8999999999996</v>
      </c>
      <c r="C140" s="139">
        <f t="shared" si="4"/>
        <v>1.610911813029223</v>
      </c>
      <c r="E140" s="136">
        <v>44481</v>
      </c>
      <c r="F140" s="137">
        <v>60045.75</v>
      </c>
      <c r="G140" s="139">
        <f t="shared" si="5"/>
        <v>-8.9734254824651791E-2</v>
      </c>
    </row>
    <row r="141" spans="1:7" ht="16.2" thickBot="1" x14ac:dyDescent="0.35">
      <c r="A141" s="134">
        <v>44482</v>
      </c>
      <c r="B141" s="135">
        <v>5248.9</v>
      </c>
      <c r="C141" s="139">
        <f t="shared" si="4"/>
        <v>0.44011557817792157</v>
      </c>
      <c r="E141" s="136">
        <v>44482</v>
      </c>
      <c r="F141" s="137">
        <v>60619.91</v>
      </c>
      <c r="G141" s="139">
        <f t="shared" si="5"/>
        <v>0.95620422760978663</v>
      </c>
    </row>
    <row r="142" spans="1:7" ht="16.2" thickBot="1" x14ac:dyDescent="0.35">
      <c r="A142" s="134">
        <v>44483</v>
      </c>
      <c r="B142" s="135">
        <v>5372.15</v>
      </c>
      <c r="C142" s="139">
        <f t="shared" si="4"/>
        <v>2.3481110327878225</v>
      </c>
      <c r="E142" s="136">
        <v>44483</v>
      </c>
      <c r="F142" s="137">
        <v>61088.82</v>
      </c>
      <c r="G142" s="139">
        <f t="shared" si="5"/>
        <v>0.77352473799449084</v>
      </c>
    </row>
    <row r="143" spans="1:7" ht="16.2" thickBot="1" x14ac:dyDescent="0.35">
      <c r="A143" s="134">
        <v>44487</v>
      </c>
      <c r="B143" s="135">
        <v>5343.05</v>
      </c>
      <c r="C143" s="139">
        <f t="shared" si="4"/>
        <v>-0.54168256657017122</v>
      </c>
      <c r="E143" s="136">
        <v>44487</v>
      </c>
      <c r="F143" s="137">
        <v>61817.32</v>
      </c>
      <c r="G143" s="139">
        <f t="shared" si="5"/>
        <v>1.1925258991743497</v>
      </c>
    </row>
    <row r="144" spans="1:7" ht="16.2" thickBot="1" x14ac:dyDescent="0.35">
      <c r="A144" s="134">
        <v>44488</v>
      </c>
      <c r="B144" s="135">
        <v>5192.1000000000004</v>
      </c>
      <c r="C144" s="139">
        <f t="shared" si="4"/>
        <v>-2.8251654017836221</v>
      </c>
      <c r="E144" s="136">
        <v>44488</v>
      </c>
      <c r="F144" s="137">
        <v>62156.480000000003</v>
      </c>
      <c r="G144" s="139">
        <f t="shared" si="5"/>
        <v>0.54864882528068748</v>
      </c>
    </row>
    <row r="145" spans="1:7" ht="16.2" thickBot="1" x14ac:dyDescent="0.35">
      <c r="A145" s="134">
        <v>44489</v>
      </c>
      <c r="B145" s="135">
        <v>5116.3999999999996</v>
      </c>
      <c r="C145" s="139">
        <f t="shared" si="4"/>
        <v>-1.4579842452957517</v>
      </c>
      <c r="E145" s="136">
        <v>44489</v>
      </c>
      <c r="F145" s="137">
        <v>61800.07</v>
      </c>
      <c r="G145" s="139">
        <f t="shared" si="5"/>
        <v>-0.57340763183501298</v>
      </c>
    </row>
    <row r="146" spans="1:7" ht="16.2" thickBot="1" x14ac:dyDescent="0.35">
      <c r="A146" s="134">
        <v>44490</v>
      </c>
      <c r="B146" s="135">
        <v>5193.6499999999996</v>
      </c>
      <c r="C146" s="139">
        <f t="shared" si="4"/>
        <v>1.509850676256743</v>
      </c>
      <c r="E146" s="136">
        <v>44490</v>
      </c>
      <c r="F146" s="137">
        <v>61557.94</v>
      </c>
      <c r="G146" s="139">
        <f t="shared" si="5"/>
        <v>-0.39179567272334376</v>
      </c>
    </row>
    <row r="147" spans="1:7" ht="16.2" thickBot="1" x14ac:dyDescent="0.35">
      <c r="A147" s="134">
        <v>44491</v>
      </c>
      <c r="B147" s="135">
        <v>5073.3999999999996</v>
      </c>
      <c r="C147" s="139">
        <f t="shared" si="4"/>
        <v>-2.3153273709241096</v>
      </c>
      <c r="E147" s="136">
        <v>44491</v>
      </c>
      <c r="F147" s="137">
        <v>61044.54</v>
      </c>
      <c r="G147" s="139">
        <f t="shared" si="5"/>
        <v>-0.83401101466358596</v>
      </c>
    </row>
    <row r="148" spans="1:7" ht="16.2" thickBot="1" x14ac:dyDescent="0.35">
      <c r="A148" s="134">
        <v>44494</v>
      </c>
      <c r="B148" s="135">
        <v>4995.95</v>
      </c>
      <c r="C148" s="139">
        <f t="shared" si="4"/>
        <v>-1.5265896637363467</v>
      </c>
      <c r="E148" s="136">
        <v>44494</v>
      </c>
      <c r="F148" s="137">
        <v>61398.75</v>
      </c>
      <c r="G148" s="139">
        <f t="shared" si="5"/>
        <v>0.58024845465294539</v>
      </c>
    </row>
    <row r="149" spans="1:7" ht="16.2" thickBot="1" x14ac:dyDescent="0.35">
      <c r="A149" s="134">
        <v>44495</v>
      </c>
      <c r="B149" s="135">
        <v>5018.8999999999996</v>
      </c>
      <c r="C149" s="139">
        <f t="shared" si="4"/>
        <v>0.45937209139402552</v>
      </c>
      <c r="E149" s="136">
        <v>44495</v>
      </c>
      <c r="F149" s="137">
        <v>60997.9</v>
      </c>
      <c r="G149" s="139">
        <f t="shared" si="5"/>
        <v>-0.65286345406054447</v>
      </c>
    </row>
    <row r="150" spans="1:7" ht="16.2" thickBot="1" x14ac:dyDescent="0.35">
      <c r="A150" s="134">
        <v>44496</v>
      </c>
      <c r="B150" s="135">
        <v>5149.3500000000004</v>
      </c>
      <c r="C150" s="139">
        <f t="shared" si="4"/>
        <v>2.5991751180537714</v>
      </c>
      <c r="E150" s="136">
        <v>44496</v>
      </c>
      <c r="F150" s="137">
        <v>61499.7</v>
      </c>
      <c r="G150" s="139">
        <f t="shared" si="5"/>
        <v>0.82265127160114637</v>
      </c>
    </row>
    <row r="151" spans="1:7" ht="16.2" thickBot="1" x14ac:dyDescent="0.35">
      <c r="A151" s="134">
        <v>44497</v>
      </c>
      <c r="B151" s="135">
        <v>5121.1499999999996</v>
      </c>
      <c r="C151" s="139">
        <f t="shared" si="4"/>
        <v>-0.54764193538991768</v>
      </c>
      <c r="E151" s="136">
        <v>44497</v>
      </c>
      <c r="F151" s="137">
        <v>61081</v>
      </c>
      <c r="G151" s="139">
        <f t="shared" si="5"/>
        <v>-0.68081632918534096</v>
      </c>
    </row>
    <row r="152" spans="1:7" ht="16.2" thickBot="1" x14ac:dyDescent="0.35">
      <c r="A152" s="134">
        <v>44498</v>
      </c>
      <c r="B152" s="135">
        <v>5150.1499999999996</v>
      </c>
      <c r="C152" s="139">
        <f t="shared" si="4"/>
        <v>0.5662790584146139</v>
      </c>
      <c r="E152" s="136">
        <v>44498</v>
      </c>
      <c r="F152" s="137">
        <v>59857.33</v>
      </c>
      <c r="G152" s="139">
        <f t="shared" si="5"/>
        <v>-2.0033561991453941</v>
      </c>
    </row>
    <row r="153" spans="1:7" ht="16.2" thickBot="1" x14ac:dyDescent="0.35">
      <c r="A153" s="140">
        <v>44501</v>
      </c>
      <c r="B153" s="135">
        <v>5228.2</v>
      </c>
      <c r="C153" s="139">
        <f t="shared" si="4"/>
        <v>1.5154898401017483</v>
      </c>
      <c r="E153" s="136">
        <v>44501</v>
      </c>
      <c r="F153" s="137">
        <v>59577.48</v>
      </c>
      <c r="G153" s="139">
        <f t="shared" si="5"/>
        <v>-0.46752837121201118</v>
      </c>
    </row>
    <row r="154" spans="1:7" ht="16.2" thickBot="1" x14ac:dyDescent="0.35">
      <c r="A154" s="140">
        <v>44502</v>
      </c>
      <c r="B154" s="135">
        <v>5205.3999999999996</v>
      </c>
      <c r="C154" s="139">
        <f t="shared" si="4"/>
        <v>-0.43609655330706903</v>
      </c>
      <c r="E154" s="136">
        <v>44502</v>
      </c>
      <c r="F154" s="137">
        <v>60360.61</v>
      </c>
      <c r="G154" s="139">
        <f t="shared" si="5"/>
        <v>1.3144731868484492</v>
      </c>
    </row>
    <row r="155" spans="1:7" ht="16.2" thickBot="1" x14ac:dyDescent="0.35">
      <c r="A155" s="140">
        <v>44503</v>
      </c>
      <c r="B155" s="135">
        <v>5140.1499999999996</v>
      </c>
      <c r="C155" s="139">
        <f t="shared" si="4"/>
        <v>-1.2535059745648751</v>
      </c>
      <c r="E155" s="136">
        <v>44503</v>
      </c>
      <c r="F155" s="137">
        <v>60275.21</v>
      </c>
      <c r="G155" s="139">
        <f t="shared" si="5"/>
        <v>-0.14148299694121952</v>
      </c>
    </row>
    <row r="156" spans="1:7" ht="16.2" thickBot="1" x14ac:dyDescent="0.35">
      <c r="A156" s="140">
        <v>44504</v>
      </c>
      <c r="B156" s="135">
        <v>5208.05</v>
      </c>
      <c r="C156" s="139">
        <f t="shared" si="4"/>
        <v>1.320973123352442</v>
      </c>
      <c r="E156" s="136">
        <v>44504</v>
      </c>
      <c r="F156" s="137">
        <v>60207.97</v>
      </c>
      <c r="G156" s="139">
        <f t="shared" si="5"/>
        <v>-0.11155498255418432</v>
      </c>
    </row>
    <row r="157" spans="1:7" ht="16.2" thickBot="1" x14ac:dyDescent="0.35">
      <c r="A157" s="140">
        <v>44508</v>
      </c>
      <c r="B157" s="135">
        <v>4896.7</v>
      </c>
      <c r="C157" s="139">
        <f t="shared" si="4"/>
        <v>-5.9782452165397872</v>
      </c>
      <c r="E157" s="136">
        <v>44508</v>
      </c>
      <c r="F157" s="137">
        <v>60385.760000000002</v>
      </c>
      <c r="G157" s="139">
        <f t="shared" si="5"/>
        <v>0.29529313145751446</v>
      </c>
    </row>
    <row r="158" spans="1:7" ht="16.2" thickBot="1" x14ac:dyDescent="0.35">
      <c r="A158" s="140">
        <v>44509</v>
      </c>
      <c r="B158" s="135">
        <v>4951.3</v>
      </c>
      <c r="C158" s="139">
        <f t="shared" si="4"/>
        <v>1.1150366573406654</v>
      </c>
      <c r="E158" s="136">
        <v>44509</v>
      </c>
      <c r="F158" s="137">
        <v>60609.72</v>
      </c>
      <c r="G158" s="139">
        <f t="shared" si="5"/>
        <v>0.37088214174997403</v>
      </c>
    </row>
    <row r="159" spans="1:7" ht="16.2" thickBot="1" x14ac:dyDescent="0.35">
      <c r="A159" s="140">
        <v>44510</v>
      </c>
      <c r="B159" s="135">
        <v>4905.75</v>
      </c>
      <c r="C159" s="139">
        <f t="shared" si="4"/>
        <v>-0.91996041443661636</v>
      </c>
      <c r="E159" s="136">
        <v>44510</v>
      </c>
      <c r="F159" s="137">
        <v>60295.26</v>
      </c>
      <c r="G159" s="139">
        <f t="shared" si="5"/>
        <v>-0.5188276731850916</v>
      </c>
    </row>
    <row r="160" spans="1:7" ht="16.2" thickBot="1" x14ac:dyDescent="0.35">
      <c r="A160" s="140">
        <v>44511</v>
      </c>
      <c r="B160" s="135">
        <v>4833.25</v>
      </c>
      <c r="C160" s="139">
        <f t="shared" si="4"/>
        <v>-1.4778576160627837</v>
      </c>
      <c r="E160" s="136">
        <v>44511</v>
      </c>
      <c r="F160" s="137">
        <v>60291.7</v>
      </c>
      <c r="G160" s="139">
        <f t="shared" si="5"/>
        <v>-5.9042783794363727E-3</v>
      </c>
    </row>
    <row r="161" spans="1:7" ht="16.2" thickBot="1" x14ac:dyDescent="0.35">
      <c r="A161" s="140">
        <v>44512</v>
      </c>
      <c r="B161" s="135">
        <v>4843.8</v>
      </c>
      <c r="C161" s="139">
        <f t="shared" si="4"/>
        <v>0.21827962551078844</v>
      </c>
      <c r="E161" s="136">
        <v>44512</v>
      </c>
      <c r="F161" s="137">
        <v>60248.04</v>
      </c>
      <c r="G161" s="139">
        <f t="shared" si="5"/>
        <v>-7.2414610966345647E-2</v>
      </c>
    </row>
    <row r="162" spans="1:7" ht="16.2" thickBot="1" x14ac:dyDescent="0.35">
      <c r="A162" s="134">
        <v>44515</v>
      </c>
      <c r="B162" s="135">
        <v>4907.6499999999996</v>
      </c>
      <c r="C162" s="139">
        <f t="shared" si="4"/>
        <v>1.3181799413683357</v>
      </c>
      <c r="E162" s="136">
        <v>44515</v>
      </c>
      <c r="F162" s="137">
        <v>60837.4</v>
      </c>
      <c r="G162" s="139">
        <f t="shared" si="5"/>
        <v>0.97822269404946716</v>
      </c>
    </row>
    <row r="163" spans="1:7" ht="16.2" thickBot="1" x14ac:dyDescent="0.35">
      <c r="A163" s="134">
        <v>44516</v>
      </c>
      <c r="B163" s="135">
        <v>4852.6000000000004</v>
      </c>
      <c r="C163" s="139">
        <f t="shared" si="4"/>
        <v>-1.1217181339337416</v>
      </c>
      <c r="E163" s="136">
        <v>44516</v>
      </c>
      <c r="F163" s="137">
        <v>60755.38</v>
      </c>
      <c r="G163" s="139">
        <f t="shared" si="5"/>
        <v>-0.13481838474360192</v>
      </c>
    </row>
    <row r="164" spans="1:7" ht="16.2" thickBot="1" x14ac:dyDescent="0.35">
      <c r="A164" s="134">
        <v>44517</v>
      </c>
      <c r="B164" s="135">
        <v>4763.8500000000004</v>
      </c>
      <c r="C164" s="139">
        <f t="shared" si="4"/>
        <v>-1.8289164571569878</v>
      </c>
      <c r="E164" s="136">
        <v>44517</v>
      </c>
      <c r="F164" s="137">
        <v>60179.93</v>
      </c>
      <c r="G164" s="139">
        <f t="shared" si="5"/>
        <v>-0.94715891827192444</v>
      </c>
    </row>
    <row r="165" spans="1:7" ht="16.2" thickBot="1" x14ac:dyDescent="0.35">
      <c r="A165" s="134">
        <v>44518</v>
      </c>
      <c r="B165" s="135">
        <v>4785.6000000000004</v>
      </c>
      <c r="C165" s="139">
        <f t="shared" si="4"/>
        <v>0.45656349381277739</v>
      </c>
      <c r="E165" s="136">
        <v>44518</v>
      </c>
      <c r="F165" s="137">
        <v>59968.75</v>
      </c>
      <c r="G165" s="139">
        <f t="shared" si="5"/>
        <v>-0.35091433306751985</v>
      </c>
    </row>
    <row r="166" spans="1:7" ht="16.2" thickBot="1" x14ac:dyDescent="0.35">
      <c r="A166" s="134">
        <v>44522</v>
      </c>
      <c r="B166" s="135">
        <v>4679.1499999999996</v>
      </c>
      <c r="C166" s="139">
        <f t="shared" si="4"/>
        <v>-2.2243814777666482</v>
      </c>
      <c r="E166" s="136">
        <v>44522</v>
      </c>
      <c r="F166" s="137">
        <v>59710.48</v>
      </c>
      <c r="G166" s="139">
        <f t="shared" si="5"/>
        <v>-0.43067430953621139</v>
      </c>
    </row>
    <row r="167" spans="1:7" ht="16.2" thickBot="1" x14ac:dyDescent="0.35">
      <c r="A167" s="134">
        <v>44523</v>
      </c>
      <c r="B167" s="135">
        <v>4763.3</v>
      </c>
      <c r="C167" s="139">
        <f t="shared" si="4"/>
        <v>1.7984035562014586</v>
      </c>
      <c r="E167" s="136">
        <v>44523</v>
      </c>
      <c r="F167" s="137">
        <v>57983.95</v>
      </c>
      <c r="G167" s="139">
        <f t="shared" si="5"/>
        <v>-2.8915024632191968</v>
      </c>
    </row>
    <row r="168" spans="1:7" ht="16.2" thickBot="1" x14ac:dyDescent="0.35">
      <c r="A168" s="134">
        <v>44524</v>
      </c>
      <c r="B168" s="135">
        <v>4682.7</v>
      </c>
      <c r="C168" s="139">
        <f t="shared" si="4"/>
        <v>-1.6921042134654622</v>
      </c>
      <c r="E168" s="136">
        <v>44524</v>
      </c>
      <c r="F168" s="137">
        <v>58839.32</v>
      </c>
      <c r="G168" s="139">
        <f t="shared" si="5"/>
        <v>1.4751840811121055</v>
      </c>
    </row>
    <row r="169" spans="1:7" ht="16.2" thickBot="1" x14ac:dyDescent="0.35">
      <c r="A169" s="134">
        <v>44525</v>
      </c>
      <c r="B169" s="135">
        <v>4799.8</v>
      </c>
      <c r="C169" s="139">
        <f t="shared" si="4"/>
        <v>2.5006940440344327</v>
      </c>
      <c r="E169" s="136">
        <v>44525</v>
      </c>
      <c r="F169" s="137">
        <v>58363.93</v>
      </c>
      <c r="G169" s="139">
        <f t="shared" si="5"/>
        <v>-0.8079461149449032</v>
      </c>
    </row>
    <row r="170" spans="1:7" ht="16.2" thickBot="1" x14ac:dyDescent="0.35">
      <c r="A170" s="134">
        <v>44526</v>
      </c>
      <c r="B170" s="135">
        <v>4937.8</v>
      </c>
      <c r="C170" s="139">
        <f t="shared" si="4"/>
        <v>2.8751197966581938</v>
      </c>
      <c r="E170" s="136">
        <v>44526</v>
      </c>
      <c r="F170" s="137">
        <v>58254.79</v>
      </c>
      <c r="G170" s="139">
        <f t="shared" si="5"/>
        <v>-0.18699905917918724</v>
      </c>
    </row>
    <row r="171" spans="1:7" ht="16.2" thickBot="1" x14ac:dyDescent="0.35">
      <c r="A171" s="134">
        <v>44529</v>
      </c>
      <c r="B171" s="135">
        <v>4921.3500000000004</v>
      </c>
      <c r="C171" s="139">
        <f t="shared" si="4"/>
        <v>-0.33314431528210575</v>
      </c>
      <c r="E171" s="136">
        <v>44529</v>
      </c>
      <c r="F171" s="137">
        <v>57028.04</v>
      </c>
      <c r="G171" s="139">
        <f t="shared" si="5"/>
        <v>-2.1058354171390885</v>
      </c>
    </row>
    <row r="172" spans="1:7" ht="16.2" thickBot="1" x14ac:dyDescent="0.35">
      <c r="A172" s="134">
        <v>44530</v>
      </c>
      <c r="B172" s="135">
        <v>4878.8</v>
      </c>
      <c r="C172" s="139">
        <f t="shared" si="4"/>
        <v>-0.86460016052506283</v>
      </c>
      <c r="E172" s="136">
        <v>44530</v>
      </c>
      <c r="F172" s="137">
        <v>57272.08</v>
      </c>
      <c r="G172" s="139">
        <f t="shared" si="5"/>
        <v>0.42792983942636087</v>
      </c>
    </row>
    <row r="173" spans="1:7" ht="16.2" thickBot="1" x14ac:dyDescent="0.35">
      <c r="A173" s="140">
        <v>44531</v>
      </c>
      <c r="B173" s="135">
        <v>4752.2</v>
      </c>
      <c r="C173" s="139">
        <f t="shared" si="4"/>
        <v>-2.5949003853406651</v>
      </c>
      <c r="E173" s="136">
        <v>44531</v>
      </c>
      <c r="F173" s="137">
        <v>57365.85</v>
      </c>
      <c r="G173" s="139">
        <f t="shared" si="5"/>
        <v>0.16372724720316914</v>
      </c>
    </row>
    <row r="174" spans="1:7" ht="16.2" thickBot="1" x14ac:dyDescent="0.35">
      <c r="A174" s="140">
        <v>44532</v>
      </c>
      <c r="B174" s="135">
        <v>4777.3</v>
      </c>
      <c r="C174" s="139">
        <f t="shared" si="4"/>
        <v>0.52817642355120509</v>
      </c>
      <c r="E174" s="136">
        <v>44532</v>
      </c>
      <c r="F174" s="137">
        <v>57781.48</v>
      </c>
      <c r="G174" s="139">
        <f t="shared" si="5"/>
        <v>0.72452513124098161</v>
      </c>
    </row>
    <row r="175" spans="1:7" ht="16.2" thickBot="1" x14ac:dyDescent="0.35">
      <c r="A175" s="140">
        <v>44533</v>
      </c>
      <c r="B175" s="135">
        <v>4757.05</v>
      </c>
      <c r="C175" s="139">
        <f t="shared" si="4"/>
        <v>-0.42387959726205182</v>
      </c>
      <c r="E175" s="136">
        <v>44533</v>
      </c>
      <c r="F175" s="137">
        <v>58555.58</v>
      </c>
      <c r="G175" s="139">
        <f t="shared" si="5"/>
        <v>1.3397026175168902</v>
      </c>
    </row>
    <row r="176" spans="1:7" ht="16.2" thickBot="1" x14ac:dyDescent="0.35">
      <c r="A176" s="140">
        <v>44536</v>
      </c>
      <c r="B176" s="135">
        <v>4646.8</v>
      </c>
      <c r="C176" s="139">
        <f t="shared" si="4"/>
        <v>-2.3176128062559775</v>
      </c>
      <c r="E176" s="136">
        <v>44536</v>
      </c>
      <c r="F176" s="137">
        <v>57778.01</v>
      </c>
      <c r="G176" s="139">
        <f t="shared" si="5"/>
        <v>-1.3279178517230974</v>
      </c>
    </row>
    <row r="177" spans="1:7" ht="16.2" thickBot="1" x14ac:dyDescent="0.35">
      <c r="A177" s="140">
        <v>44537</v>
      </c>
      <c r="B177" s="135">
        <v>4624.8</v>
      </c>
      <c r="C177" s="139">
        <f t="shared" si="4"/>
        <v>-0.47344409055694237</v>
      </c>
      <c r="E177" s="136">
        <v>44537</v>
      </c>
      <c r="F177" s="137">
        <v>57125.98</v>
      </c>
      <c r="G177" s="139">
        <f t="shared" si="5"/>
        <v>-1.1285089258006615</v>
      </c>
    </row>
    <row r="178" spans="1:7" ht="16.2" thickBot="1" x14ac:dyDescent="0.35">
      <c r="A178" s="140">
        <v>44538</v>
      </c>
      <c r="B178" s="135">
        <v>4604.95</v>
      </c>
      <c r="C178" s="139">
        <f t="shared" si="4"/>
        <v>-0.42920774952431157</v>
      </c>
      <c r="E178" s="136">
        <v>44538</v>
      </c>
      <c r="F178" s="137">
        <v>58158.559999999998</v>
      </c>
      <c r="G178" s="139">
        <f t="shared" si="5"/>
        <v>1.8075488595556601</v>
      </c>
    </row>
    <row r="179" spans="1:7" ht="16.2" thickBot="1" x14ac:dyDescent="0.35">
      <c r="A179" s="140">
        <v>44539</v>
      </c>
      <c r="B179" s="135">
        <v>4576.95</v>
      </c>
      <c r="C179" s="139">
        <f t="shared" si="4"/>
        <v>-0.60804134681158328</v>
      </c>
      <c r="E179" s="136">
        <v>44539</v>
      </c>
      <c r="F179" s="137">
        <v>58831.41</v>
      </c>
      <c r="G179" s="139">
        <f t="shared" si="5"/>
        <v>1.1569234176362102</v>
      </c>
    </row>
    <row r="180" spans="1:7" ht="16.2" thickBot="1" x14ac:dyDescent="0.35">
      <c r="A180" s="140">
        <v>44540</v>
      </c>
      <c r="B180" s="135">
        <v>4506.45</v>
      </c>
      <c r="C180" s="139">
        <f t="shared" si="4"/>
        <v>-1.5403270737062891</v>
      </c>
      <c r="E180" s="136">
        <v>44540</v>
      </c>
      <c r="F180" s="137">
        <v>58696.71</v>
      </c>
      <c r="G180" s="139">
        <f t="shared" si="5"/>
        <v>-0.22895932631906046</v>
      </c>
    </row>
    <row r="181" spans="1:7" ht="16.2" thickBot="1" x14ac:dyDescent="0.35">
      <c r="A181" s="134">
        <v>44543</v>
      </c>
      <c r="B181" s="135">
        <v>4530.3999999999996</v>
      </c>
      <c r="C181" s="139">
        <f t="shared" si="4"/>
        <v>0.53146046222636045</v>
      </c>
      <c r="E181" s="136">
        <v>44543</v>
      </c>
      <c r="F181" s="137">
        <v>59103.72</v>
      </c>
      <c r="G181" s="139">
        <f t="shared" si="5"/>
        <v>0.69341194762023639</v>
      </c>
    </row>
    <row r="182" spans="1:7" ht="16.2" thickBot="1" x14ac:dyDescent="0.35">
      <c r="A182" s="134">
        <v>44544</v>
      </c>
      <c r="B182" s="135">
        <v>4654.3999999999996</v>
      </c>
      <c r="C182" s="139">
        <f t="shared" si="4"/>
        <v>2.7370651598092888</v>
      </c>
      <c r="E182" s="136">
        <v>44544</v>
      </c>
      <c r="F182" s="137">
        <v>58059.76</v>
      </c>
      <c r="G182" s="139">
        <f t="shared" si="5"/>
        <v>-1.7663186005889293</v>
      </c>
    </row>
    <row r="183" spans="1:7" ht="16.2" thickBot="1" x14ac:dyDescent="0.35">
      <c r="A183" s="134">
        <v>44545</v>
      </c>
      <c r="B183" s="135">
        <v>4588.7</v>
      </c>
      <c r="C183" s="139">
        <f t="shared" si="4"/>
        <v>-1.4115675489859021</v>
      </c>
      <c r="E183" s="136">
        <v>44545</v>
      </c>
      <c r="F183" s="137">
        <v>58122</v>
      </c>
      <c r="G183" s="139">
        <f t="shared" si="5"/>
        <v>0.10719989197337013</v>
      </c>
    </row>
    <row r="184" spans="1:7" ht="16.2" thickBot="1" x14ac:dyDescent="0.35">
      <c r="A184" s="134">
        <v>44546</v>
      </c>
      <c r="B184" s="135">
        <v>4601.45</v>
      </c>
      <c r="C184" s="139">
        <f t="shared" si="4"/>
        <v>0.27785647351101617</v>
      </c>
      <c r="E184" s="136">
        <v>44546</v>
      </c>
      <c r="F184" s="137">
        <v>58243.43</v>
      </c>
      <c r="G184" s="139">
        <f t="shared" si="5"/>
        <v>0.20892261105949603</v>
      </c>
    </row>
    <row r="185" spans="1:7" ht="16.2" thickBot="1" x14ac:dyDescent="0.35">
      <c r="A185" s="134">
        <v>44547</v>
      </c>
      <c r="B185" s="135">
        <v>4511.45</v>
      </c>
      <c r="C185" s="139">
        <f t="shared" si="4"/>
        <v>-1.9559052037944562</v>
      </c>
      <c r="E185" s="136">
        <v>44547</v>
      </c>
      <c r="F185" s="137">
        <v>58021.63</v>
      </c>
      <c r="G185" s="139">
        <f t="shared" si="5"/>
        <v>-0.38081548425290701</v>
      </c>
    </row>
    <row r="186" spans="1:7" ht="16.2" thickBot="1" x14ac:dyDescent="0.35">
      <c r="A186" s="134">
        <v>44550</v>
      </c>
      <c r="B186" s="135">
        <v>4408.45</v>
      </c>
      <c r="C186" s="139">
        <f t="shared" si="4"/>
        <v>-2.2830797193806869</v>
      </c>
      <c r="E186" s="136">
        <v>44550</v>
      </c>
      <c r="F186" s="137">
        <v>56517.26</v>
      </c>
      <c r="G186" s="139">
        <f t="shared" si="5"/>
        <v>-2.5927744532513053</v>
      </c>
    </row>
    <row r="187" spans="1:7" ht="16.2" thickBot="1" x14ac:dyDescent="0.35">
      <c r="A187" s="134">
        <v>44551</v>
      </c>
      <c r="B187" s="135">
        <v>4405.7</v>
      </c>
      <c r="C187" s="139">
        <f t="shared" si="4"/>
        <v>-6.2380201658179181E-2</v>
      </c>
      <c r="E187" s="136">
        <v>44551</v>
      </c>
      <c r="F187" s="137">
        <v>56320.02</v>
      </c>
      <c r="G187" s="139">
        <f t="shared" si="5"/>
        <v>-0.34899073309641204</v>
      </c>
    </row>
    <row r="188" spans="1:7" ht="16.2" thickBot="1" x14ac:dyDescent="0.35">
      <c r="A188" s="134">
        <v>44552</v>
      </c>
      <c r="B188" s="135">
        <v>4563.5</v>
      </c>
      <c r="C188" s="139">
        <f t="shared" si="4"/>
        <v>3.5817236761468143</v>
      </c>
      <c r="E188" s="136">
        <v>44552</v>
      </c>
      <c r="F188" s="137">
        <v>56599.47</v>
      </c>
      <c r="G188" s="139">
        <f t="shared" si="5"/>
        <v>0.49618235220797935</v>
      </c>
    </row>
    <row r="189" spans="1:7" ht="16.2" thickBot="1" x14ac:dyDescent="0.35">
      <c r="A189" s="134">
        <v>44553</v>
      </c>
      <c r="B189" s="135">
        <v>4478.5</v>
      </c>
      <c r="C189" s="139">
        <f t="shared" si="4"/>
        <v>-1.8626054563383367</v>
      </c>
      <c r="E189" s="136">
        <v>44553</v>
      </c>
      <c r="F189" s="137">
        <v>57251.15</v>
      </c>
      <c r="G189" s="139">
        <f t="shared" si="5"/>
        <v>1.1513888734293807</v>
      </c>
    </row>
    <row r="190" spans="1:7" ht="16.2" thickBot="1" x14ac:dyDescent="0.35">
      <c r="A190" s="134">
        <v>44554</v>
      </c>
      <c r="B190" s="135">
        <v>4447.25</v>
      </c>
      <c r="C190" s="139">
        <f t="shared" si="4"/>
        <v>-0.6977782739756615</v>
      </c>
      <c r="E190" s="136">
        <v>44554</v>
      </c>
      <c r="F190" s="137">
        <v>57567.11</v>
      </c>
      <c r="G190" s="139">
        <f t="shared" si="5"/>
        <v>0.55188411062485054</v>
      </c>
    </row>
    <row r="191" spans="1:7" ht="16.2" thickBot="1" x14ac:dyDescent="0.35">
      <c r="A191" s="134">
        <v>44557</v>
      </c>
      <c r="B191" s="135">
        <v>4473.2</v>
      </c>
      <c r="C191" s="139">
        <f t="shared" si="4"/>
        <v>0.58350666141997454</v>
      </c>
      <c r="E191" s="136">
        <v>44557</v>
      </c>
      <c r="F191" s="137">
        <v>56948.33</v>
      </c>
      <c r="G191" s="139">
        <f t="shared" si="5"/>
        <v>-1.074884599904353</v>
      </c>
    </row>
    <row r="192" spans="1:7" ht="16.2" thickBot="1" x14ac:dyDescent="0.35">
      <c r="A192" s="134">
        <v>44558</v>
      </c>
      <c r="B192" s="135">
        <v>4525.3500000000004</v>
      </c>
      <c r="C192" s="139">
        <f t="shared" si="4"/>
        <v>1.1658320665295661</v>
      </c>
      <c r="E192" s="136">
        <v>44558</v>
      </c>
      <c r="F192" s="137">
        <v>57751.21</v>
      </c>
      <c r="G192" s="139">
        <f t="shared" si="5"/>
        <v>1.4098394105674343</v>
      </c>
    </row>
    <row r="193" spans="1:7" ht="16.2" thickBot="1" x14ac:dyDescent="0.35">
      <c r="A193" s="134">
        <v>44559</v>
      </c>
      <c r="B193" s="135">
        <v>4621.6000000000004</v>
      </c>
      <c r="C193" s="139">
        <f t="shared" si="4"/>
        <v>2.1269073110367152</v>
      </c>
      <c r="E193" s="136">
        <v>44559</v>
      </c>
      <c r="F193" s="137">
        <v>57892.31</v>
      </c>
      <c r="G193" s="139">
        <f t="shared" si="5"/>
        <v>0.24432388516188414</v>
      </c>
    </row>
    <row r="194" spans="1:7" ht="16.2" thickBot="1" x14ac:dyDescent="0.35">
      <c r="A194" s="134">
        <v>44560</v>
      </c>
      <c r="B194" s="135">
        <v>4627.8999999999996</v>
      </c>
      <c r="C194" s="139">
        <f t="shared" si="4"/>
        <v>0.13631642721133963</v>
      </c>
      <c r="E194" s="136">
        <v>44560</v>
      </c>
      <c r="F194" s="137">
        <v>57755.4</v>
      </c>
      <c r="G194" s="139">
        <f t="shared" si="5"/>
        <v>-0.23649082235619243</v>
      </c>
    </row>
    <row r="195" spans="1:7" ht="16.2" thickBot="1" x14ac:dyDescent="0.35">
      <c r="A195" s="134">
        <v>44561</v>
      </c>
      <c r="B195" s="135">
        <v>4678.2</v>
      </c>
      <c r="C195" s="139">
        <f t="shared" si="4"/>
        <v>1.0868860606322563</v>
      </c>
      <c r="E195" s="136">
        <v>44561</v>
      </c>
      <c r="F195" s="137">
        <v>57849.760000000002</v>
      </c>
      <c r="G195" s="139">
        <f t="shared" si="5"/>
        <v>0.16337866242810295</v>
      </c>
    </row>
    <row r="196" spans="1:7" ht="16.2" thickBot="1" x14ac:dyDescent="0.35">
      <c r="A196" s="140">
        <v>44564</v>
      </c>
      <c r="B196" s="135">
        <v>4651.25</v>
      </c>
      <c r="C196" s="139">
        <f t="shared" si="4"/>
        <v>-0.57607626865033179</v>
      </c>
      <c r="E196" s="136">
        <v>44564</v>
      </c>
      <c r="F196" s="137">
        <v>58310.09</v>
      </c>
      <c r="G196" s="139">
        <f t="shared" si="5"/>
        <v>0.79573363830721922</v>
      </c>
    </row>
    <row r="197" spans="1:7" ht="16.2" thickBot="1" x14ac:dyDescent="0.35">
      <c r="A197" s="140">
        <v>44565</v>
      </c>
      <c r="B197" s="135">
        <v>4621.7</v>
      </c>
      <c r="C197" s="139">
        <f t="shared" si="4"/>
        <v>-0.63531308787960616</v>
      </c>
      <c r="E197" s="136">
        <v>44565</v>
      </c>
      <c r="F197" s="137">
        <v>59343.79</v>
      </c>
      <c r="G197" s="139">
        <f t="shared" si="5"/>
        <v>1.7727635131415582</v>
      </c>
    </row>
    <row r="198" spans="1:7" ht="16.2" thickBot="1" x14ac:dyDescent="0.35">
      <c r="A198" s="140">
        <v>44566</v>
      </c>
      <c r="B198" s="135">
        <v>4558.45</v>
      </c>
      <c r="C198" s="139">
        <f t="shared" si="4"/>
        <v>-1.368544042235541</v>
      </c>
      <c r="E198" s="136">
        <v>44566</v>
      </c>
      <c r="F198" s="137">
        <v>59921.98</v>
      </c>
      <c r="G198" s="139">
        <f t="shared" si="5"/>
        <v>0.9743058203731213</v>
      </c>
    </row>
    <row r="199" spans="1:7" ht="16.2" thickBot="1" x14ac:dyDescent="0.35">
      <c r="A199" s="140">
        <v>44567</v>
      </c>
      <c r="B199" s="135">
        <v>4489.1499999999996</v>
      </c>
      <c r="C199" s="139">
        <f t="shared" si="4"/>
        <v>-1.5202535949719791</v>
      </c>
      <c r="E199" s="136">
        <v>44567</v>
      </c>
      <c r="F199" s="137">
        <v>59731.75</v>
      </c>
      <c r="G199" s="139">
        <f t="shared" si="5"/>
        <v>-0.31746280747065303</v>
      </c>
    </row>
    <row r="200" spans="1:7" ht="16.2" thickBot="1" x14ac:dyDescent="0.35">
      <c r="A200" s="140">
        <v>44568</v>
      </c>
      <c r="B200" s="135">
        <v>4516.7</v>
      </c>
      <c r="C200" s="139">
        <f t="shared" ref="C200:C263" si="6">(B200-B199)/B199*100</f>
        <v>0.61370192575432281</v>
      </c>
      <c r="E200" s="136">
        <v>44568</v>
      </c>
      <c r="F200" s="137">
        <v>59776.1</v>
      </c>
      <c r="G200" s="139">
        <f t="shared" ref="G200:G263" si="7">(F200-F199)/F199*100</f>
        <v>7.4248619871339031E-2</v>
      </c>
    </row>
    <row r="201" spans="1:7" ht="16.2" thickBot="1" x14ac:dyDescent="0.35">
      <c r="A201" s="140">
        <v>44571</v>
      </c>
      <c r="B201" s="135">
        <v>4465.8</v>
      </c>
      <c r="C201" s="139">
        <f t="shared" si="6"/>
        <v>-1.1269289525538477</v>
      </c>
      <c r="E201" s="136">
        <v>44571</v>
      </c>
      <c r="F201" s="137">
        <v>60070.39</v>
      </c>
      <c r="G201" s="139">
        <f t="shared" si="7"/>
        <v>0.49232050936745769</v>
      </c>
    </row>
    <row r="202" spans="1:7" ht="16.2" thickBot="1" x14ac:dyDescent="0.35">
      <c r="A202" s="140">
        <v>44572</v>
      </c>
      <c r="B202" s="135">
        <v>4516.55</v>
      </c>
      <c r="C202" s="139">
        <f t="shared" si="6"/>
        <v>1.1364145281920373</v>
      </c>
      <c r="E202" s="136">
        <v>44572</v>
      </c>
      <c r="F202" s="137">
        <v>60342.7</v>
      </c>
      <c r="G202" s="139">
        <f t="shared" si="7"/>
        <v>0.45331818221922265</v>
      </c>
    </row>
    <row r="203" spans="1:7" ht="16.2" thickBot="1" x14ac:dyDescent="0.35">
      <c r="A203" s="140">
        <v>44573</v>
      </c>
      <c r="B203" s="135">
        <v>4492.8999999999996</v>
      </c>
      <c r="C203" s="139">
        <f t="shared" si="6"/>
        <v>-0.52362976165437214</v>
      </c>
      <c r="E203" s="136">
        <v>44573</v>
      </c>
      <c r="F203" s="137">
        <v>61014.37</v>
      </c>
      <c r="G203" s="139">
        <f t="shared" si="7"/>
        <v>1.1130923873144647</v>
      </c>
    </row>
    <row r="204" spans="1:7" ht="16.2" thickBot="1" x14ac:dyDescent="0.35">
      <c r="A204" s="134">
        <v>44574</v>
      </c>
      <c r="B204" s="135">
        <v>4590.05</v>
      </c>
      <c r="C204" s="139">
        <f t="shared" si="6"/>
        <v>2.1623005185960191</v>
      </c>
      <c r="E204" s="136">
        <v>44574</v>
      </c>
      <c r="F204" s="137">
        <v>61259.99</v>
      </c>
      <c r="G204" s="139">
        <f t="shared" si="7"/>
        <v>0.40256090491468699</v>
      </c>
    </row>
    <row r="205" spans="1:7" ht="16.2" thickBot="1" x14ac:dyDescent="0.35">
      <c r="A205" s="134">
        <v>44575</v>
      </c>
      <c r="B205" s="135">
        <v>4616.6000000000004</v>
      </c>
      <c r="C205" s="139">
        <f t="shared" si="6"/>
        <v>0.57842507162231738</v>
      </c>
      <c r="E205" s="136">
        <v>44575</v>
      </c>
      <c r="F205" s="137">
        <v>61040.32</v>
      </c>
      <c r="G205" s="139">
        <f t="shared" si="7"/>
        <v>-0.35858641178360989</v>
      </c>
    </row>
    <row r="206" spans="1:7" ht="16.2" thickBot="1" x14ac:dyDescent="0.35">
      <c r="A206" s="134">
        <v>44578</v>
      </c>
      <c r="B206" s="135">
        <v>4630.3500000000004</v>
      </c>
      <c r="C206" s="139">
        <f t="shared" si="6"/>
        <v>0.29783823593120473</v>
      </c>
      <c r="E206" s="136">
        <v>44578</v>
      </c>
      <c r="F206" s="137">
        <v>61219.64</v>
      </c>
      <c r="G206" s="139">
        <f t="shared" si="7"/>
        <v>0.29377303395526055</v>
      </c>
    </row>
    <row r="207" spans="1:7" ht="16.2" thickBot="1" x14ac:dyDescent="0.35">
      <c r="A207" s="134">
        <v>44579</v>
      </c>
      <c r="B207" s="135">
        <v>4527.1499999999996</v>
      </c>
      <c r="C207" s="139">
        <f t="shared" si="6"/>
        <v>-2.2287732028896459</v>
      </c>
      <c r="E207" s="136">
        <v>44579</v>
      </c>
      <c r="F207" s="137">
        <v>61430.77</v>
      </c>
      <c r="G207" s="139">
        <f t="shared" si="7"/>
        <v>0.34487298520539716</v>
      </c>
    </row>
    <row r="208" spans="1:7" ht="16.2" thickBot="1" x14ac:dyDescent="0.35">
      <c r="A208" s="134">
        <v>44580</v>
      </c>
      <c r="B208" s="135">
        <v>4481.5</v>
      </c>
      <c r="C208" s="139">
        <f t="shared" si="6"/>
        <v>-1.0083606684116859</v>
      </c>
      <c r="E208" s="136">
        <v>44580</v>
      </c>
      <c r="F208" s="137">
        <v>60845.59</v>
      </c>
      <c r="G208" s="139">
        <f t="shared" si="7"/>
        <v>-0.95258451098692121</v>
      </c>
    </row>
    <row r="209" spans="1:7" ht="16.2" thickBot="1" x14ac:dyDescent="0.35">
      <c r="A209" s="134">
        <v>44581</v>
      </c>
      <c r="B209" s="135">
        <v>4329.75</v>
      </c>
      <c r="C209" s="139">
        <f t="shared" si="6"/>
        <v>-3.386143032466808</v>
      </c>
      <c r="E209" s="136">
        <v>44581</v>
      </c>
      <c r="F209" s="137">
        <v>60045.48</v>
      </c>
      <c r="G209" s="139">
        <f t="shared" si="7"/>
        <v>-1.3149843727376023</v>
      </c>
    </row>
    <row r="210" spans="1:7" ht="16.2" thickBot="1" x14ac:dyDescent="0.35">
      <c r="A210" s="134">
        <v>44582</v>
      </c>
      <c r="B210" s="135">
        <v>4179.3999999999996</v>
      </c>
      <c r="C210" s="139">
        <f t="shared" si="6"/>
        <v>-3.4724868641376605</v>
      </c>
      <c r="E210" s="136">
        <v>44582</v>
      </c>
      <c r="F210" s="137">
        <v>59039.37</v>
      </c>
      <c r="G210" s="139">
        <f t="shared" si="7"/>
        <v>-1.6755799104278966</v>
      </c>
    </row>
    <row r="211" spans="1:7" ht="16.2" thickBot="1" x14ac:dyDescent="0.35">
      <c r="A211" s="134">
        <v>44585</v>
      </c>
      <c r="B211" s="135">
        <v>4056.6</v>
      </c>
      <c r="C211" s="139">
        <f t="shared" si="6"/>
        <v>-2.9382207972436172</v>
      </c>
      <c r="E211" s="136">
        <v>44585</v>
      </c>
      <c r="F211" s="137">
        <v>59023.97</v>
      </c>
      <c r="G211" s="139">
        <f t="shared" si="7"/>
        <v>-2.6084289178562464E-2</v>
      </c>
    </row>
    <row r="212" spans="1:7" ht="16.2" thickBot="1" x14ac:dyDescent="0.35">
      <c r="A212" s="134">
        <v>44586</v>
      </c>
      <c r="B212" s="135">
        <v>4049.2</v>
      </c>
      <c r="C212" s="139">
        <f t="shared" si="6"/>
        <v>-0.18241877434304815</v>
      </c>
      <c r="E212" s="136">
        <v>44586</v>
      </c>
      <c r="F212" s="137">
        <v>57158.63</v>
      </c>
      <c r="G212" s="139">
        <f t="shared" si="7"/>
        <v>-3.1603092777392026</v>
      </c>
    </row>
    <row r="213" spans="1:7" ht="16.2" thickBot="1" x14ac:dyDescent="0.35">
      <c r="A213" s="134">
        <v>44588</v>
      </c>
      <c r="B213" s="135">
        <v>3939.85</v>
      </c>
      <c r="C213" s="139">
        <f t="shared" si="6"/>
        <v>-2.700533438703939</v>
      </c>
      <c r="E213" s="136">
        <v>44588</v>
      </c>
      <c r="F213" s="137">
        <v>57317.38</v>
      </c>
      <c r="G213" s="139">
        <f t="shared" si="7"/>
        <v>0.27773583796532564</v>
      </c>
    </row>
    <row r="214" spans="1:7" ht="16.2" thickBot="1" x14ac:dyDescent="0.35">
      <c r="A214" s="134">
        <v>44589</v>
      </c>
      <c r="B214" s="135">
        <v>3940.7</v>
      </c>
      <c r="C214" s="139">
        <f t="shared" si="6"/>
        <v>2.1574425422285343E-2</v>
      </c>
      <c r="E214" s="136">
        <v>44589</v>
      </c>
      <c r="F214" s="137">
        <v>57795.11</v>
      </c>
      <c r="G214" s="139">
        <f t="shared" si="7"/>
        <v>0.83348192119040188</v>
      </c>
    </row>
    <row r="215" spans="1:7" ht="16.2" thickBot="1" x14ac:dyDescent="0.35">
      <c r="A215" s="134">
        <v>44592</v>
      </c>
      <c r="B215" s="135">
        <v>4036.1</v>
      </c>
      <c r="C215" s="139">
        <f t="shared" si="6"/>
        <v>2.4208896896490497</v>
      </c>
      <c r="E215" s="136">
        <v>44592</v>
      </c>
      <c r="F215" s="137">
        <v>57845.91</v>
      </c>
      <c r="G215" s="139">
        <f t="shared" si="7"/>
        <v>8.7896709600523135E-2</v>
      </c>
    </row>
    <row r="216" spans="1:7" ht="16.2" thickBot="1" x14ac:dyDescent="0.35">
      <c r="A216" s="140">
        <v>44593</v>
      </c>
      <c r="B216" s="135">
        <v>4108.3500000000004</v>
      </c>
      <c r="C216" s="139">
        <f t="shared" si="6"/>
        <v>1.7900943980575421</v>
      </c>
      <c r="E216" s="136">
        <v>44593</v>
      </c>
      <c r="F216" s="137">
        <v>58672.86</v>
      </c>
      <c r="G216" s="139">
        <f t="shared" si="7"/>
        <v>1.4295738454110187</v>
      </c>
    </row>
    <row r="217" spans="1:7" ht="16.2" thickBot="1" x14ac:dyDescent="0.35">
      <c r="A217" s="140">
        <v>44594</v>
      </c>
      <c r="B217" s="135">
        <v>4219.6499999999996</v>
      </c>
      <c r="C217" s="139">
        <f t="shared" si="6"/>
        <v>2.7091167987147946</v>
      </c>
      <c r="E217" s="136">
        <v>44594</v>
      </c>
      <c r="F217" s="137">
        <v>59293.440000000002</v>
      </c>
      <c r="G217" s="139">
        <f t="shared" si="7"/>
        <v>1.0576951592269437</v>
      </c>
    </row>
    <row r="218" spans="1:7" ht="16.2" thickBot="1" x14ac:dyDescent="0.35">
      <c r="A218" s="140">
        <v>44595</v>
      </c>
      <c r="B218" s="135">
        <v>4262.45</v>
      </c>
      <c r="C218" s="139">
        <f t="shared" si="6"/>
        <v>1.0143021340632561</v>
      </c>
      <c r="E218" s="136">
        <v>44595</v>
      </c>
      <c r="F218" s="137">
        <v>59528.160000000003</v>
      </c>
      <c r="G218" s="139">
        <f t="shared" si="7"/>
        <v>0.39586166699048181</v>
      </c>
    </row>
    <row r="219" spans="1:7" ht="16.2" thickBot="1" x14ac:dyDescent="0.35">
      <c r="A219" s="140">
        <v>44596</v>
      </c>
      <c r="B219" s="135">
        <v>4304.5</v>
      </c>
      <c r="C219" s="139">
        <f t="shared" si="6"/>
        <v>0.98652183603327148</v>
      </c>
      <c r="E219" s="136">
        <v>44596</v>
      </c>
      <c r="F219" s="137">
        <v>58918.65</v>
      </c>
      <c r="G219" s="139">
        <f t="shared" si="7"/>
        <v>-1.0239019650531815</v>
      </c>
    </row>
    <row r="220" spans="1:7" ht="16.2" thickBot="1" x14ac:dyDescent="0.35">
      <c r="A220" s="140">
        <v>44599</v>
      </c>
      <c r="B220" s="135">
        <v>4201.5</v>
      </c>
      <c r="C220" s="139">
        <f t="shared" si="6"/>
        <v>-2.3928446974096875</v>
      </c>
      <c r="E220" s="136">
        <v>44599</v>
      </c>
      <c r="F220" s="137">
        <v>58549.67</v>
      </c>
      <c r="G220" s="139">
        <f t="shared" si="7"/>
        <v>-0.62625331707363152</v>
      </c>
    </row>
    <row r="221" spans="1:7" ht="16.2" thickBot="1" x14ac:dyDescent="0.35">
      <c r="A221" s="140">
        <v>44600</v>
      </c>
      <c r="B221" s="135">
        <v>4277.55</v>
      </c>
      <c r="C221" s="139">
        <f t="shared" si="6"/>
        <v>1.8100678329168198</v>
      </c>
      <c r="E221" s="136">
        <v>44600</v>
      </c>
      <c r="F221" s="137">
        <v>57799.67</v>
      </c>
      <c r="G221" s="139">
        <f t="shared" si="7"/>
        <v>-1.2809636672589273</v>
      </c>
    </row>
    <row r="222" spans="1:7" ht="16.2" thickBot="1" x14ac:dyDescent="0.35">
      <c r="A222" s="140">
        <v>44601</v>
      </c>
      <c r="B222" s="135">
        <v>4329.45</v>
      </c>
      <c r="C222" s="139">
        <f t="shared" si="6"/>
        <v>1.2133113581372428</v>
      </c>
      <c r="E222" s="136">
        <v>44601</v>
      </c>
      <c r="F222" s="137">
        <v>58163.01</v>
      </c>
      <c r="G222" s="139">
        <f t="shared" si="7"/>
        <v>0.62861950595912364</v>
      </c>
    </row>
    <row r="223" spans="1:7" ht="16.2" thickBot="1" x14ac:dyDescent="0.35">
      <c r="A223" s="140">
        <v>44602</v>
      </c>
      <c r="B223" s="135">
        <v>4313.75</v>
      </c>
      <c r="C223" s="139">
        <f t="shared" si="6"/>
        <v>-0.36263266696693158</v>
      </c>
      <c r="E223" s="136">
        <v>44602</v>
      </c>
      <c r="F223" s="137">
        <v>58810.53</v>
      </c>
      <c r="G223" s="139">
        <f t="shared" si="7"/>
        <v>1.1132848867347078</v>
      </c>
    </row>
    <row r="224" spans="1:7" ht="16.2" thickBot="1" x14ac:dyDescent="0.35">
      <c r="A224" s="140">
        <v>44603</v>
      </c>
      <c r="B224" s="135">
        <v>4291.25</v>
      </c>
      <c r="C224" s="139">
        <f t="shared" si="6"/>
        <v>-0.52158794552303678</v>
      </c>
      <c r="E224" s="136">
        <v>44603</v>
      </c>
      <c r="F224" s="137">
        <v>58447.15</v>
      </c>
      <c r="G224" s="139">
        <f t="shared" si="7"/>
        <v>-0.61788254586380598</v>
      </c>
    </row>
    <row r="225" spans="1:7" ht="16.2" thickBot="1" x14ac:dyDescent="0.35">
      <c r="A225" s="134">
        <v>44606</v>
      </c>
      <c r="B225" s="135">
        <v>4277.8999999999996</v>
      </c>
      <c r="C225" s="139">
        <f t="shared" si="6"/>
        <v>-0.31109816487038422</v>
      </c>
      <c r="E225" s="136">
        <v>44606</v>
      </c>
      <c r="F225" s="137">
        <v>56720.32</v>
      </c>
      <c r="G225" s="139">
        <f t="shared" si="7"/>
        <v>-2.9545153185399147</v>
      </c>
    </row>
    <row r="226" spans="1:7" ht="16.2" thickBot="1" x14ac:dyDescent="0.35">
      <c r="A226" s="134">
        <v>44607</v>
      </c>
      <c r="B226" s="135">
        <v>4325.8</v>
      </c>
      <c r="C226" s="139">
        <f t="shared" si="6"/>
        <v>1.1197082680754704</v>
      </c>
      <c r="E226" s="136">
        <v>44607</v>
      </c>
      <c r="F226" s="137">
        <v>56731.56</v>
      </c>
      <c r="G226" s="139">
        <f t="shared" si="7"/>
        <v>1.9816531359480982E-2</v>
      </c>
    </row>
    <row r="227" spans="1:7" ht="16.2" thickBot="1" x14ac:dyDescent="0.35">
      <c r="A227" s="134">
        <v>44608</v>
      </c>
      <c r="B227" s="135">
        <v>4465.1499999999996</v>
      </c>
      <c r="C227" s="139">
        <f t="shared" si="6"/>
        <v>3.2213694576725564</v>
      </c>
      <c r="E227" s="136">
        <v>44608</v>
      </c>
      <c r="F227" s="137">
        <v>58310.68</v>
      </c>
      <c r="G227" s="139">
        <f t="shared" si="7"/>
        <v>2.7834947602357536</v>
      </c>
    </row>
    <row r="228" spans="1:7" ht="16.2" thickBot="1" x14ac:dyDescent="0.35">
      <c r="A228" s="134">
        <v>44609</v>
      </c>
      <c r="B228" s="135">
        <v>4442.2</v>
      </c>
      <c r="C228" s="139">
        <f t="shared" si="6"/>
        <v>-0.51398049337647833</v>
      </c>
      <c r="E228" s="136">
        <v>44609</v>
      </c>
      <c r="F228" s="137">
        <v>58217.69</v>
      </c>
      <c r="G228" s="139">
        <f t="shared" si="7"/>
        <v>-0.15947335891126285</v>
      </c>
    </row>
    <row r="229" spans="1:7" ht="16.2" thickBot="1" x14ac:dyDescent="0.35">
      <c r="A229" s="134">
        <v>44610</v>
      </c>
      <c r="B229" s="135">
        <v>4353.3999999999996</v>
      </c>
      <c r="C229" s="139">
        <f t="shared" si="6"/>
        <v>-1.9990094997974019</v>
      </c>
      <c r="E229" s="136">
        <v>44610</v>
      </c>
      <c r="F229" s="137">
        <v>57488.39</v>
      </c>
      <c r="G229" s="139">
        <f t="shared" si="7"/>
        <v>-1.2527120193192187</v>
      </c>
    </row>
    <row r="230" spans="1:7" ht="16.2" thickBot="1" x14ac:dyDescent="0.35">
      <c r="A230" s="134">
        <v>44613</v>
      </c>
      <c r="B230" s="135">
        <v>4258.3</v>
      </c>
      <c r="C230" s="139">
        <f t="shared" si="6"/>
        <v>-2.1844994716772974</v>
      </c>
      <c r="E230" s="136">
        <v>44613</v>
      </c>
      <c r="F230" s="137">
        <v>57551.65</v>
      </c>
      <c r="G230" s="139">
        <f t="shared" si="7"/>
        <v>0.1100396097368565</v>
      </c>
    </row>
    <row r="231" spans="1:7" ht="16.2" thickBot="1" x14ac:dyDescent="0.35">
      <c r="A231" s="134">
        <v>44614</v>
      </c>
      <c r="B231" s="135">
        <v>4224.8</v>
      </c>
      <c r="C231" s="139">
        <f t="shared" si="6"/>
        <v>-0.7866989174083554</v>
      </c>
      <c r="E231" s="136">
        <v>44614</v>
      </c>
      <c r="F231" s="137">
        <v>56438.64</v>
      </c>
      <c r="G231" s="139">
        <f t="shared" si="7"/>
        <v>-1.9339323894275871</v>
      </c>
    </row>
    <row r="232" spans="1:7" ht="16.2" thickBot="1" x14ac:dyDescent="0.35">
      <c r="A232" s="134">
        <v>44615</v>
      </c>
      <c r="B232" s="135">
        <v>4181.6000000000004</v>
      </c>
      <c r="C232" s="139">
        <f t="shared" si="6"/>
        <v>-1.0225336110585073</v>
      </c>
      <c r="E232" s="136">
        <v>44615</v>
      </c>
      <c r="F232" s="137">
        <v>57632.94</v>
      </c>
      <c r="G232" s="139">
        <f t="shared" si="7"/>
        <v>2.1161034355186499</v>
      </c>
    </row>
    <row r="233" spans="1:7" ht="16.2" thickBot="1" x14ac:dyDescent="0.35">
      <c r="A233" s="134">
        <v>44616</v>
      </c>
      <c r="B233" s="135">
        <v>3936.65</v>
      </c>
      <c r="C233" s="139">
        <f t="shared" si="6"/>
        <v>-5.8578056246412915</v>
      </c>
      <c r="E233" s="136">
        <v>44616</v>
      </c>
      <c r="F233" s="137">
        <v>55418.45</v>
      </c>
      <c r="G233" s="139">
        <f t="shared" si="7"/>
        <v>-3.8424033200458023</v>
      </c>
    </row>
    <row r="234" spans="1:7" ht="16.2" thickBot="1" x14ac:dyDescent="0.35">
      <c r="A234" s="134">
        <v>44617</v>
      </c>
      <c r="B234" s="135">
        <v>4138.3500000000004</v>
      </c>
      <c r="C234" s="139">
        <f t="shared" si="6"/>
        <v>5.1236457393977179</v>
      </c>
      <c r="E234" s="136">
        <v>44617</v>
      </c>
      <c r="F234" s="137">
        <v>55321.72</v>
      </c>
      <c r="G234" s="139">
        <f t="shared" si="7"/>
        <v>-0.17454475901075531</v>
      </c>
    </row>
    <row r="235" spans="1:7" ht="16.2" thickBot="1" x14ac:dyDescent="0.35">
      <c r="A235" s="134">
        <v>44620</v>
      </c>
      <c r="B235" s="135">
        <v>4265</v>
      </c>
      <c r="C235" s="139">
        <f t="shared" si="6"/>
        <v>3.0603984679884402</v>
      </c>
      <c r="E235" s="136">
        <v>44620</v>
      </c>
      <c r="F235" s="137">
        <v>55329.46</v>
      </c>
      <c r="G235" s="139">
        <f t="shared" si="7"/>
        <v>1.3990888208099753E-2</v>
      </c>
    </row>
    <row r="236" spans="1:7" ht="16.2" thickBot="1" x14ac:dyDescent="0.35">
      <c r="A236" s="140">
        <v>44622</v>
      </c>
      <c r="B236" s="135">
        <v>4160.8999999999996</v>
      </c>
      <c r="C236" s="139">
        <f t="shared" si="6"/>
        <v>-2.4407971864009466</v>
      </c>
      <c r="E236" s="136">
        <v>44622</v>
      </c>
      <c r="F236" s="137">
        <v>55629.3</v>
      </c>
      <c r="G236" s="139">
        <f t="shared" si="7"/>
        <v>0.54191745229395649</v>
      </c>
    </row>
    <row r="237" spans="1:7" ht="16.2" thickBot="1" x14ac:dyDescent="0.35">
      <c r="A237" s="140">
        <v>44623</v>
      </c>
      <c r="B237" s="135">
        <v>4160.45</v>
      </c>
      <c r="C237" s="139">
        <f t="shared" si="6"/>
        <v>-1.0814967915590813E-2</v>
      </c>
      <c r="E237" s="136">
        <v>44623</v>
      </c>
      <c r="F237" s="137">
        <v>55921.440000000002</v>
      </c>
      <c r="G237" s="139">
        <f t="shared" si="7"/>
        <v>0.52515490937329679</v>
      </c>
    </row>
    <row r="238" spans="1:7" ht="16.2" thickBot="1" x14ac:dyDescent="0.35">
      <c r="A238" s="140">
        <v>44624</v>
      </c>
      <c r="B238" s="135">
        <v>4094.7</v>
      </c>
      <c r="C238" s="139">
        <f t="shared" si="6"/>
        <v>-1.5803578939778149</v>
      </c>
      <c r="E238" s="136">
        <v>44624</v>
      </c>
      <c r="F238" s="137">
        <v>54653.59</v>
      </c>
      <c r="G238" s="139">
        <f t="shared" si="7"/>
        <v>-2.2671984126303002</v>
      </c>
    </row>
    <row r="239" spans="1:7" ht="16.2" thickBot="1" x14ac:dyDescent="0.35">
      <c r="A239" s="140">
        <v>44627</v>
      </c>
      <c r="B239" s="135">
        <v>4074.95</v>
      </c>
      <c r="C239" s="139">
        <f t="shared" si="6"/>
        <v>-0.48233081788653626</v>
      </c>
      <c r="E239" s="136">
        <v>44627</v>
      </c>
      <c r="F239" s="137">
        <v>53172.51</v>
      </c>
      <c r="G239" s="139">
        <f t="shared" si="7"/>
        <v>-2.7099409206238687</v>
      </c>
    </row>
    <row r="240" spans="1:7" ht="16.2" thickBot="1" x14ac:dyDescent="0.35">
      <c r="A240" s="140">
        <v>44628</v>
      </c>
      <c r="B240" s="135">
        <v>4164.25</v>
      </c>
      <c r="C240" s="139">
        <f t="shared" si="6"/>
        <v>2.1914379317537684</v>
      </c>
      <c r="E240" s="136">
        <v>44628</v>
      </c>
      <c r="F240" s="137">
        <v>52430.06</v>
      </c>
      <c r="G240" s="139">
        <f t="shared" si="7"/>
        <v>-1.3963042181006771</v>
      </c>
    </row>
    <row r="241" spans="1:7" ht="16.2" thickBot="1" x14ac:dyDescent="0.35">
      <c r="A241" s="140">
        <v>44629</v>
      </c>
      <c r="B241" s="135">
        <v>4234.05</v>
      </c>
      <c r="C241" s="139">
        <f t="shared" si="6"/>
        <v>1.6761721798643257</v>
      </c>
      <c r="E241" s="136">
        <v>44629</v>
      </c>
      <c r="F241" s="137">
        <v>53793.99</v>
      </c>
      <c r="G241" s="139">
        <f t="shared" si="7"/>
        <v>2.6014275017041757</v>
      </c>
    </row>
    <row r="242" spans="1:7" ht="16.2" thickBot="1" x14ac:dyDescent="0.35">
      <c r="A242" s="140">
        <v>44630</v>
      </c>
      <c r="B242" s="135">
        <v>4300.8999999999996</v>
      </c>
      <c r="C242" s="139">
        <f t="shared" si="6"/>
        <v>1.5788665698326532</v>
      </c>
      <c r="E242" s="136">
        <v>44630</v>
      </c>
      <c r="F242" s="137">
        <v>56242.47</v>
      </c>
      <c r="G242" s="139">
        <f t="shared" si="7"/>
        <v>4.551586524814395</v>
      </c>
    </row>
    <row r="243" spans="1:7" ht="16.2" thickBot="1" x14ac:dyDescent="0.35">
      <c r="A243" s="140">
        <v>44631</v>
      </c>
      <c r="B243" s="135">
        <v>4339.3999999999996</v>
      </c>
      <c r="C243" s="139">
        <f t="shared" si="6"/>
        <v>0.8951614778302216</v>
      </c>
      <c r="E243" s="136">
        <v>44631</v>
      </c>
      <c r="F243" s="137">
        <v>55218.78</v>
      </c>
      <c r="G243" s="139">
        <f t="shared" si="7"/>
        <v>-1.8201369890049321</v>
      </c>
    </row>
    <row r="244" spans="1:7" ht="16.2" thickBot="1" x14ac:dyDescent="0.35">
      <c r="A244" s="134">
        <v>44634</v>
      </c>
      <c r="B244" s="135">
        <v>4393.8</v>
      </c>
      <c r="C244" s="139">
        <f t="shared" si="6"/>
        <v>1.2536295340369763</v>
      </c>
      <c r="E244" s="136">
        <v>44634</v>
      </c>
      <c r="F244" s="137">
        <v>55614.400000000001</v>
      </c>
      <c r="G244" s="139">
        <f t="shared" si="7"/>
        <v>0.71645914668886679</v>
      </c>
    </row>
    <row r="245" spans="1:7" ht="16.2" thickBot="1" x14ac:dyDescent="0.35">
      <c r="A245" s="134">
        <v>44635</v>
      </c>
      <c r="B245" s="135">
        <v>4386.25</v>
      </c>
      <c r="C245" s="139">
        <f t="shared" si="6"/>
        <v>-0.17183303746188225</v>
      </c>
      <c r="E245" s="136">
        <v>44635</v>
      </c>
      <c r="F245" s="137">
        <v>56663.87</v>
      </c>
      <c r="G245" s="139">
        <f t="shared" si="7"/>
        <v>1.887047239563856</v>
      </c>
    </row>
    <row r="246" spans="1:7" ht="16.2" thickBot="1" x14ac:dyDescent="0.35">
      <c r="A246" s="134">
        <v>44636</v>
      </c>
      <c r="B246" s="135">
        <v>4402.25</v>
      </c>
      <c r="C246" s="139">
        <f t="shared" si="6"/>
        <v>0.3647762895411798</v>
      </c>
      <c r="E246" s="136">
        <v>44636</v>
      </c>
      <c r="F246" s="137">
        <v>56555.33</v>
      </c>
      <c r="G246" s="139">
        <f t="shared" si="7"/>
        <v>-0.19155063005756731</v>
      </c>
    </row>
    <row r="247" spans="1:7" ht="16.2" thickBot="1" x14ac:dyDescent="0.35">
      <c r="A247" s="134">
        <v>44637</v>
      </c>
      <c r="B247" s="135">
        <v>4504.3500000000004</v>
      </c>
      <c r="C247" s="139">
        <f t="shared" si="6"/>
        <v>2.3192685558521293</v>
      </c>
      <c r="E247" s="136">
        <v>44637</v>
      </c>
      <c r="F247" s="137">
        <v>57620.28</v>
      </c>
      <c r="G247" s="139">
        <f t="shared" si="7"/>
        <v>1.8830232269885032</v>
      </c>
    </row>
    <row r="248" spans="1:7" ht="16.2" thickBot="1" x14ac:dyDescent="0.35">
      <c r="A248" s="134">
        <v>44641</v>
      </c>
      <c r="B248" s="135">
        <v>4456.25</v>
      </c>
      <c r="C248" s="139">
        <f t="shared" si="6"/>
        <v>-1.0678566274823307</v>
      </c>
      <c r="E248" s="136">
        <v>44641</v>
      </c>
      <c r="F248" s="137">
        <v>58030.41</v>
      </c>
      <c r="G248" s="139">
        <f t="shared" si="7"/>
        <v>0.71178064389830231</v>
      </c>
    </row>
    <row r="249" spans="1:7" ht="16.2" thickBot="1" x14ac:dyDescent="0.35">
      <c r="A249" s="134">
        <v>44642</v>
      </c>
      <c r="B249" s="135">
        <v>4448.55</v>
      </c>
      <c r="C249" s="139">
        <f t="shared" si="6"/>
        <v>-0.17279102384291317</v>
      </c>
      <c r="E249" s="136">
        <v>44642</v>
      </c>
      <c r="F249" s="137">
        <v>57297.57</v>
      </c>
      <c r="G249" s="139">
        <f t="shared" si="7"/>
        <v>-1.2628551133793535</v>
      </c>
    </row>
    <row r="250" spans="1:7" ht="16.2" thickBot="1" x14ac:dyDescent="0.35">
      <c r="A250" s="134">
        <v>44643</v>
      </c>
      <c r="B250" s="135">
        <v>4553.55</v>
      </c>
      <c r="C250" s="139">
        <f t="shared" si="6"/>
        <v>2.3603196547189533</v>
      </c>
      <c r="E250" s="136">
        <v>44643</v>
      </c>
      <c r="F250" s="137">
        <v>58198.64</v>
      </c>
      <c r="G250" s="139">
        <f t="shared" si="7"/>
        <v>1.5726146850555784</v>
      </c>
    </row>
    <row r="251" spans="1:7" ht="16.2" thickBot="1" x14ac:dyDescent="0.35">
      <c r="A251" s="134">
        <v>44644</v>
      </c>
      <c r="B251" s="135">
        <v>4494.6499999999996</v>
      </c>
      <c r="C251" s="139">
        <f t="shared" si="6"/>
        <v>-1.2934962831197756</v>
      </c>
      <c r="E251" s="136">
        <v>44644</v>
      </c>
      <c r="F251" s="137">
        <v>57190.05</v>
      </c>
      <c r="G251" s="139">
        <f t="shared" si="7"/>
        <v>-1.73301300511489</v>
      </c>
    </row>
    <row r="252" spans="1:7" ht="16.2" thickBot="1" x14ac:dyDescent="0.35">
      <c r="A252" s="134">
        <v>44645</v>
      </c>
      <c r="B252" s="135">
        <v>4454.1499999999996</v>
      </c>
      <c r="C252" s="139">
        <f t="shared" si="6"/>
        <v>-0.90107127362531025</v>
      </c>
      <c r="E252" s="136">
        <v>44645</v>
      </c>
      <c r="F252" s="137">
        <v>57801.72</v>
      </c>
      <c r="G252" s="139">
        <f t="shared" si="7"/>
        <v>1.0695391943178896</v>
      </c>
    </row>
    <row r="253" spans="1:7" ht="16.2" thickBot="1" x14ac:dyDescent="0.35">
      <c r="A253" s="134">
        <v>44648</v>
      </c>
      <c r="B253" s="135">
        <v>4416.55</v>
      </c>
      <c r="C253" s="139">
        <f t="shared" si="6"/>
        <v>-0.84415657308351666</v>
      </c>
      <c r="E253" s="136">
        <v>44648</v>
      </c>
      <c r="F253" s="137">
        <v>57472.72</v>
      </c>
      <c r="G253" s="139">
        <f t="shared" si="7"/>
        <v>-0.56918721449811527</v>
      </c>
    </row>
    <row r="254" spans="1:7" ht="16.2" thickBot="1" x14ac:dyDescent="0.35">
      <c r="A254" s="134">
        <v>44649</v>
      </c>
      <c r="B254" s="135">
        <v>4561.6000000000004</v>
      </c>
      <c r="C254" s="139">
        <f t="shared" si="6"/>
        <v>3.2842376968448264</v>
      </c>
      <c r="E254" s="136">
        <v>44649</v>
      </c>
      <c r="F254" s="137">
        <v>57814.76</v>
      </c>
      <c r="G254" s="139">
        <f t="shared" si="7"/>
        <v>0.59513452643271603</v>
      </c>
    </row>
    <row r="255" spans="1:7" ht="16.2" thickBot="1" x14ac:dyDescent="0.35">
      <c r="A255" s="134">
        <v>44650</v>
      </c>
      <c r="B255" s="135">
        <v>4538.6000000000004</v>
      </c>
      <c r="C255" s="139">
        <f t="shared" si="6"/>
        <v>-0.50420904945633105</v>
      </c>
      <c r="E255" s="136">
        <v>44650</v>
      </c>
      <c r="F255" s="137">
        <v>58362.85</v>
      </c>
      <c r="G255" s="139">
        <f t="shared" si="7"/>
        <v>0.9480105080432687</v>
      </c>
    </row>
    <row r="256" spans="1:7" ht="16.2" thickBot="1" x14ac:dyDescent="0.35">
      <c r="A256" s="134">
        <v>44651</v>
      </c>
      <c r="B256" s="135">
        <v>4402.05</v>
      </c>
      <c r="C256" s="139">
        <f t="shared" si="6"/>
        <v>-3.0086370246331504</v>
      </c>
      <c r="E256" s="136">
        <v>44651</v>
      </c>
      <c r="F256" s="137">
        <v>58779.71</v>
      </c>
      <c r="G256" s="139">
        <f t="shared" si="7"/>
        <v>0.71425572945803806</v>
      </c>
    </row>
    <row r="257" spans="1:7" ht="16.2" thickBot="1" x14ac:dyDescent="0.35">
      <c r="A257" s="140">
        <v>44652</v>
      </c>
      <c r="B257" s="135">
        <v>4379.7</v>
      </c>
      <c r="C257" s="139">
        <f t="shared" si="6"/>
        <v>-0.50771799502505344</v>
      </c>
      <c r="E257" s="136">
        <v>44652</v>
      </c>
      <c r="F257" s="137">
        <v>58530.73</v>
      </c>
      <c r="G257" s="139">
        <f t="shared" si="7"/>
        <v>-0.42358153859553904</v>
      </c>
    </row>
    <row r="258" spans="1:7" ht="16.2" thickBot="1" x14ac:dyDescent="0.35">
      <c r="A258" s="140">
        <v>44655</v>
      </c>
      <c r="B258" s="135">
        <v>4497.6000000000004</v>
      </c>
      <c r="C258" s="139">
        <f t="shared" si="6"/>
        <v>2.6919652030961148</v>
      </c>
      <c r="E258" s="136">
        <v>44655</v>
      </c>
      <c r="F258" s="137">
        <v>59764.13</v>
      </c>
      <c r="G258" s="139">
        <f t="shared" si="7"/>
        <v>2.1072691217075104</v>
      </c>
    </row>
    <row r="259" spans="1:7" ht="16.2" thickBot="1" x14ac:dyDescent="0.35">
      <c r="A259" s="140">
        <v>44656</v>
      </c>
      <c r="B259" s="135">
        <v>4461.2</v>
      </c>
      <c r="C259" s="139">
        <f t="shared" si="6"/>
        <v>-0.80932052650303599</v>
      </c>
      <c r="E259" s="136">
        <v>44656</v>
      </c>
      <c r="F259" s="137">
        <v>60786.07</v>
      </c>
      <c r="G259" s="139">
        <f t="shared" si="7"/>
        <v>1.709955453212491</v>
      </c>
    </row>
    <row r="260" spans="1:7" ht="16.2" thickBot="1" x14ac:dyDescent="0.35">
      <c r="A260" s="140">
        <v>44657</v>
      </c>
      <c r="B260" s="135">
        <v>4386.8999999999996</v>
      </c>
      <c r="C260" s="139">
        <f t="shared" si="6"/>
        <v>-1.6654711736752486</v>
      </c>
      <c r="E260" s="136">
        <v>44657</v>
      </c>
      <c r="F260" s="137">
        <v>59815.71</v>
      </c>
      <c r="G260" s="139">
        <f t="shared" si="7"/>
        <v>-1.5963525853867515</v>
      </c>
    </row>
    <row r="261" spans="1:7" ht="16.2" thickBot="1" x14ac:dyDescent="0.35">
      <c r="A261" s="140">
        <v>44658</v>
      </c>
      <c r="B261" s="135">
        <v>4448.45</v>
      </c>
      <c r="C261" s="139">
        <f t="shared" si="6"/>
        <v>1.4030408716861609</v>
      </c>
      <c r="E261" s="136">
        <v>44658</v>
      </c>
      <c r="F261" s="137">
        <v>59402.61</v>
      </c>
      <c r="G261" s="139">
        <f t="shared" si="7"/>
        <v>-0.69062124314832762</v>
      </c>
    </row>
    <row r="262" spans="1:7" ht="16.2" thickBot="1" x14ac:dyDescent="0.35">
      <c r="A262" s="140">
        <v>44659</v>
      </c>
      <c r="B262" s="135">
        <v>4505.95</v>
      </c>
      <c r="C262" s="139">
        <f t="shared" si="6"/>
        <v>1.2925850577167328</v>
      </c>
      <c r="E262" s="136">
        <v>44659</v>
      </c>
      <c r="F262" s="137">
        <v>59256.97</v>
      </c>
      <c r="G262" s="139">
        <f t="shared" si="7"/>
        <v>-0.24517441237009524</v>
      </c>
    </row>
    <row r="263" spans="1:7" ht="16.2" thickBot="1" x14ac:dyDescent="0.35">
      <c r="A263" s="140">
        <v>44662</v>
      </c>
      <c r="B263" s="135">
        <v>4503.8</v>
      </c>
      <c r="C263" s="139">
        <f t="shared" si="6"/>
        <v>-4.7714688356498322E-2</v>
      </c>
      <c r="E263" s="136">
        <v>44662</v>
      </c>
      <c r="F263" s="137">
        <v>59333.18</v>
      </c>
      <c r="G263" s="139">
        <f t="shared" si="7"/>
        <v>0.1286093433396934</v>
      </c>
    </row>
    <row r="264" spans="1:7" ht="16.2" thickBot="1" x14ac:dyDescent="0.35">
      <c r="A264" s="140">
        <v>44663</v>
      </c>
      <c r="B264" s="135">
        <v>4473.3999999999996</v>
      </c>
      <c r="C264" s="139">
        <f t="shared" ref="C264:C327" si="8">(B264-B263)/B263*100</f>
        <v>-0.67498556774280716</v>
      </c>
      <c r="E264" s="136">
        <v>44663</v>
      </c>
      <c r="F264" s="137">
        <v>58743.5</v>
      </c>
      <c r="G264" s="139">
        <f t="shared" ref="G264:G327" si="9">(F264-F263)/F263*100</f>
        <v>-0.99384526499338188</v>
      </c>
    </row>
    <row r="265" spans="1:7" ht="16.2" thickBot="1" x14ac:dyDescent="0.35">
      <c r="A265" s="134">
        <v>44664</v>
      </c>
      <c r="B265" s="135">
        <v>4499.25</v>
      </c>
      <c r="C265" s="139">
        <f t="shared" si="8"/>
        <v>0.57786024053293616</v>
      </c>
      <c r="E265" s="136">
        <v>44664</v>
      </c>
      <c r="F265" s="137">
        <v>58910.74</v>
      </c>
      <c r="G265" s="139">
        <f t="shared" si="9"/>
        <v>0.28469532799373198</v>
      </c>
    </row>
    <row r="266" spans="1:7" ht="16.2" thickBot="1" x14ac:dyDescent="0.35">
      <c r="A266" s="134">
        <v>44669</v>
      </c>
      <c r="B266" s="135">
        <v>4524.8999999999996</v>
      </c>
      <c r="C266" s="139">
        <f t="shared" si="8"/>
        <v>0.57009501583596456</v>
      </c>
      <c r="E266" s="136">
        <v>44669</v>
      </c>
      <c r="F266" s="137">
        <v>57338.58</v>
      </c>
      <c r="G266" s="139">
        <f t="shared" si="9"/>
        <v>-2.6687154158986903</v>
      </c>
    </row>
    <row r="267" spans="1:7" ht="16.2" thickBot="1" x14ac:dyDescent="0.35">
      <c r="A267" s="134">
        <v>44670</v>
      </c>
      <c r="B267" s="135">
        <v>4411.3999999999996</v>
      </c>
      <c r="C267" s="139">
        <f t="shared" si="8"/>
        <v>-2.5083427258060951</v>
      </c>
      <c r="E267" s="136">
        <v>44670</v>
      </c>
      <c r="F267" s="137">
        <v>57381.77</v>
      </c>
      <c r="G267" s="139">
        <f t="shared" si="9"/>
        <v>7.5324502281003555E-2</v>
      </c>
    </row>
    <row r="268" spans="1:7" ht="16.2" thickBot="1" x14ac:dyDescent="0.35">
      <c r="A268" s="134">
        <v>44671</v>
      </c>
      <c r="B268" s="135">
        <v>4455.6499999999996</v>
      </c>
      <c r="C268" s="139">
        <f t="shared" si="8"/>
        <v>1.0030829215215125</v>
      </c>
      <c r="E268" s="136">
        <v>44671</v>
      </c>
      <c r="F268" s="137">
        <v>56741.43</v>
      </c>
      <c r="G268" s="139">
        <f t="shared" si="9"/>
        <v>-1.1159293273804496</v>
      </c>
    </row>
    <row r="269" spans="1:7" ht="16.2" thickBot="1" x14ac:dyDescent="0.35">
      <c r="A269" s="134">
        <v>44672</v>
      </c>
      <c r="B269" s="135">
        <v>4529.05</v>
      </c>
      <c r="C269" s="139">
        <f t="shared" si="8"/>
        <v>1.6473466273158921</v>
      </c>
      <c r="E269" s="136">
        <v>44672</v>
      </c>
      <c r="F269" s="137">
        <v>57458.6</v>
      </c>
      <c r="G269" s="139">
        <f t="shared" si="9"/>
        <v>1.2639265524326726</v>
      </c>
    </row>
    <row r="270" spans="1:7" ht="16.2" thickBot="1" x14ac:dyDescent="0.35">
      <c r="A270" s="134">
        <v>44673</v>
      </c>
      <c r="B270" s="135">
        <v>4492.5</v>
      </c>
      <c r="C270" s="139">
        <f t="shared" si="8"/>
        <v>-0.80701250814188807</v>
      </c>
      <c r="E270" s="136">
        <v>44673</v>
      </c>
      <c r="F270" s="137">
        <v>57531.95</v>
      </c>
      <c r="G270" s="139">
        <f t="shared" si="9"/>
        <v>0.12765713052528002</v>
      </c>
    </row>
    <row r="271" spans="1:7" ht="16.2" thickBot="1" x14ac:dyDescent="0.35">
      <c r="A271" s="134">
        <v>44676</v>
      </c>
      <c r="B271" s="135">
        <v>4410.1000000000004</v>
      </c>
      <c r="C271" s="139">
        <f t="shared" si="8"/>
        <v>-1.8341680578742268</v>
      </c>
      <c r="E271" s="136">
        <v>44676</v>
      </c>
      <c r="F271" s="137">
        <v>56757.64</v>
      </c>
      <c r="G271" s="139">
        <f t="shared" si="9"/>
        <v>-1.3458782467828705</v>
      </c>
    </row>
    <row r="272" spans="1:7" ht="16.2" thickBot="1" x14ac:dyDescent="0.35">
      <c r="A272" s="134">
        <v>44677</v>
      </c>
      <c r="B272" s="135">
        <v>4519.6000000000004</v>
      </c>
      <c r="C272" s="139">
        <f t="shared" si="8"/>
        <v>2.4829368948549915</v>
      </c>
      <c r="E272" s="136">
        <v>44677</v>
      </c>
      <c r="F272" s="137">
        <v>57066.239999999998</v>
      </c>
      <c r="G272" s="139">
        <f t="shared" si="9"/>
        <v>0.54371534827733947</v>
      </c>
    </row>
    <row r="273" spans="1:7" ht="16.2" thickBot="1" x14ac:dyDescent="0.35">
      <c r="A273" s="134">
        <v>44678</v>
      </c>
      <c r="B273" s="135">
        <v>4530.6000000000004</v>
      </c>
      <c r="C273" s="139">
        <f t="shared" si="8"/>
        <v>0.24338437029825646</v>
      </c>
      <c r="E273" s="136">
        <v>44678</v>
      </c>
      <c r="F273" s="137">
        <v>56983.68</v>
      </c>
      <c r="G273" s="139">
        <f t="shared" si="9"/>
        <v>-0.14467397887086597</v>
      </c>
    </row>
    <row r="274" spans="1:7" ht="16.2" thickBot="1" x14ac:dyDescent="0.35">
      <c r="A274" s="134">
        <v>44679</v>
      </c>
      <c r="B274" s="135">
        <v>4564.6000000000004</v>
      </c>
      <c r="C274" s="139">
        <f t="shared" si="8"/>
        <v>0.75045247870039289</v>
      </c>
      <c r="E274" s="136">
        <v>44679</v>
      </c>
      <c r="F274" s="137">
        <v>57296.31</v>
      </c>
      <c r="G274" s="139">
        <f t="shared" si="9"/>
        <v>0.54863076586137882</v>
      </c>
    </row>
    <row r="275" spans="1:7" ht="16.2" thickBot="1" x14ac:dyDescent="0.35">
      <c r="A275" s="134">
        <v>44680</v>
      </c>
      <c r="B275" s="135">
        <v>4505.3999999999996</v>
      </c>
      <c r="C275" s="139">
        <f t="shared" si="8"/>
        <v>-1.2969373000920281</v>
      </c>
      <c r="E275" s="136">
        <v>44680</v>
      </c>
      <c r="F275" s="137">
        <v>57817.51</v>
      </c>
      <c r="G275" s="139">
        <f t="shared" si="9"/>
        <v>0.9096571838570483</v>
      </c>
    </row>
    <row r="276" spans="1:7" ht="16.2" thickBot="1" x14ac:dyDescent="0.35">
      <c r="A276" s="140">
        <v>44683</v>
      </c>
      <c r="B276" s="135">
        <v>4509.6499999999996</v>
      </c>
      <c r="C276" s="139">
        <f t="shared" si="8"/>
        <v>9.4331246948106726E-2</v>
      </c>
      <c r="E276" s="136">
        <v>44683</v>
      </c>
      <c r="F276" s="137">
        <v>56429.45</v>
      </c>
      <c r="G276" s="139">
        <f t="shared" si="9"/>
        <v>-2.4007606000327666</v>
      </c>
    </row>
    <row r="277" spans="1:7" ht="16.2" thickBot="1" x14ac:dyDescent="0.35">
      <c r="A277" s="140">
        <v>44685</v>
      </c>
      <c r="B277" s="135">
        <v>4344.1499999999996</v>
      </c>
      <c r="C277" s="139">
        <f t="shared" si="8"/>
        <v>-3.6699078642466714</v>
      </c>
      <c r="E277" s="136">
        <v>44685</v>
      </c>
      <c r="F277" s="137">
        <v>57124.91</v>
      </c>
      <c r="G277" s="139">
        <f t="shared" si="9"/>
        <v>1.23244157084644</v>
      </c>
    </row>
    <row r="278" spans="1:7" ht="16.2" thickBot="1" x14ac:dyDescent="0.35">
      <c r="A278" s="140">
        <v>44686</v>
      </c>
      <c r="B278" s="135">
        <v>4365.8</v>
      </c>
      <c r="C278" s="139">
        <f t="shared" si="8"/>
        <v>0.49837137299588058</v>
      </c>
      <c r="E278" s="136">
        <v>44686</v>
      </c>
      <c r="F278" s="137">
        <v>56255.07</v>
      </c>
      <c r="G278" s="139">
        <f t="shared" si="9"/>
        <v>-1.5226982414501899</v>
      </c>
    </row>
    <row r="279" spans="1:7" ht="16.2" thickBot="1" x14ac:dyDescent="0.35">
      <c r="A279" s="140">
        <v>44687</v>
      </c>
      <c r="B279" s="135">
        <v>4165.8500000000004</v>
      </c>
      <c r="C279" s="139">
        <f t="shared" si="8"/>
        <v>-4.5799166246735945</v>
      </c>
      <c r="E279" s="136">
        <v>44687</v>
      </c>
      <c r="F279" s="137">
        <v>54928.29</v>
      </c>
      <c r="G279" s="139">
        <f t="shared" si="9"/>
        <v>-2.3585074198645541</v>
      </c>
    </row>
    <row r="280" spans="1:7" ht="16.2" thickBot="1" x14ac:dyDescent="0.35">
      <c r="A280" s="140">
        <v>44690</v>
      </c>
      <c r="B280" s="135">
        <v>4231.1000000000004</v>
      </c>
      <c r="C280" s="139">
        <f t="shared" si="8"/>
        <v>1.5663069961712492</v>
      </c>
      <c r="E280" s="136">
        <v>44690</v>
      </c>
      <c r="F280" s="137">
        <v>54188.21</v>
      </c>
      <c r="G280" s="139">
        <f t="shared" si="9"/>
        <v>-1.3473567081735145</v>
      </c>
    </row>
    <row r="281" spans="1:7" ht="16.2" thickBot="1" x14ac:dyDescent="0.35">
      <c r="A281" s="140">
        <v>44691</v>
      </c>
      <c r="B281" s="135">
        <v>4296.3500000000004</v>
      </c>
      <c r="C281" s="139">
        <f t="shared" si="8"/>
        <v>1.5421521590130225</v>
      </c>
      <c r="E281" s="136">
        <v>44691</v>
      </c>
      <c r="F281" s="137">
        <v>54309.31</v>
      </c>
      <c r="G281" s="139">
        <f t="shared" si="9"/>
        <v>0.22348034747779738</v>
      </c>
    </row>
    <row r="282" spans="1:7" ht="16.2" thickBot="1" x14ac:dyDescent="0.35">
      <c r="A282" s="140">
        <v>44692</v>
      </c>
      <c r="B282" s="135">
        <v>4293.8</v>
      </c>
      <c r="C282" s="139">
        <f t="shared" si="8"/>
        <v>-5.9352706367036712E-2</v>
      </c>
      <c r="E282" s="136">
        <v>44692</v>
      </c>
      <c r="F282" s="137">
        <v>54544.91</v>
      </c>
      <c r="G282" s="139">
        <f t="shared" si="9"/>
        <v>0.4338114404325995</v>
      </c>
    </row>
    <row r="283" spans="1:7" ht="16.2" thickBot="1" x14ac:dyDescent="0.35">
      <c r="A283" s="140">
        <v>44693</v>
      </c>
      <c r="B283" s="135">
        <v>4233.3999999999996</v>
      </c>
      <c r="C283" s="139">
        <f t="shared" si="8"/>
        <v>-1.4066793982020713</v>
      </c>
      <c r="E283" s="136">
        <v>44693</v>
      </c>
      <c r="F283" s="137">
        <v>53608.35</v>
      </c>
      <c r="G283" s="139">
        <f t="shared" si="9"/>
        <v>-1.7170438084873636</v>
      </c>
    </row>
    <row r="284" spans="1:7" ht="16.2" thickBot="1" x14ac:dyDescent="0.35">
      <c r="A284" s="134">
        <v>44694</v>
      </c>
      <c r="B284" s="135">
        <v>4281.1000000000004</v>
      </c>
      <c r="C284" s="139">
        <f t="shared" si="8"/>
        <v>1.1267539093872709</v>
      </c>
      <c r="E284" s="136">
        <v>44694</v>
      </c>
      <c r="F284" s="137">
        <v>53565.74</v>
      </c>
      <c r="G284" s="139">
        <f t="shared" si="9"/>
        <v>-7.9483886372180054E-2</v>
      </c>
    </row>
    <row r="285" spans="1:7" ht="16.2" thickBot="1" x14ac:dyDescent="0.35">
      <c r="A285" s="134">
        <v>44697</v>
      </c>
      <c r="B285" s="135">
        <v>4218.1000000000004</v>
      </c>
      <c r="C285" s="139">
        <f t="shared" si="8"/>
        <v>-1.471584405876994</v>
      </c>
      <c r="E285" s="136">
        <v>44697</v>
      </c>
      <c r="F285" s="137">
        <v>52946.32</v>
      </c>
      <c r="G285" s="139">
        <f t="shared" si="9"/>
        <v>-1.1563734581096019</v>
      </c>
    </row>
    <row r="286" spans="1:7" ht="16.2" thickBot="1" x14ac:dyDescent="0.35">
      <c r="A286" s="134">
        <v>44698</v>
      </c>
      <c r="B286" s="135">
        <v>4303.3500000000004</v>
      </c>
      <c r="C286" s="139">
        <f t="shared" si="8"/>
        <v>2.0210521324767075</v>
      </c>
      <c r="E286" s="136">
        <v>44698</v>
      </c>
      <c r="F286" s="137">
        <v>53285.19</v>
      </c>
      <c r="G286" s="139">
        <f t="shared" si="9"/>
        <v>0.64002559573545925</v>
      </c>
    </row>
    <row r="287" spans="1:7" ht="16.2" thickBot="1" x14ac:dyDescent="0.35">
      <c r="A287" s="134">
        <v>44699</v>
      </c>
      <c r="B287" s="135">
        <v>4366.7</v>
      </c>
      <c r="C287" s="139">
        <f t="shared" si="8"/>
        <v>1.4721089383851986</v>
      </c>
      <c r="E287" s="136">
        <v>44699</v>
      </c>
      <c r="F287" s="137">
        <v>54554.89</v>
      </c>
      <c r="G287" s="139">
        <f t="shared" si="9"/>
        <v>2.3828384584909932</v>
      </c>
    </row>
    <row r="288" spans="1:7" ht="16.2" thickBot="1" x14ac:dyDescent="0.35">
      <c r="A288" s="134">
        <v>44700</v>
      </c>
      <c r="B288" s="135">
        <v>4199.2</v>
      </c>
      <c r="C288" s="139">
        <f t="shared" si="8"/>
        <v>-3.8358485813085395</v>
      </c>
      <c r="E288" s="136">
        <v>44700</v>
      </c>
      <c r="F288" s="137">
        <v>53070.3</v>
      </c>
      <c r="G288" s="139">
        <f t="shared" si="9"/>
        <v>-2.7212775976635579</v>
      </c>
    </row>
    <row r="289" spans="1:7" ht="16.2" thickBot="1" x14ac:dyDescent="0.35">
      <c r="A289" s="134">
        <v>44701</v>
      </c>
      <c r="B289" s="135">
        <v>4304.8</v>
      </c>
      <c r="C289" s="139">
        <f t="shared" si="8"/>
        <v>2.514764717088978</v>
      </c>
      <c r="E289" s="136">
        <v>44701</v>
      </c>
      <c r="F289" s="137">
        <v>53513.97</v>
      </c>
      <c r="G289" s="139">
        <f t="shared" si="9"/>
        <v>0.83600431879977732</v>
      </c>
    </row>
    <row r="290" spans="1:7" ht="16.2" thickBot="1" x14ac:dyDescent="0.35">
      <c r="A290" s="134">
        <v>44704</v>
      </c>
      <c r="B290" s="135">
        <v>3897.9</v>
      </c>
      <c r="C290" s="139">
        <f t="shared" si="8"/>
        <v>-9.4522393607136248</v>
      </c>
      <c r="E290" s="136">
        <v>44704</v>
      </c>
      <c r="F290" s="137">
        <v>54459.95</v>
      </c>
      <c r="G290" s="139">
        <f t="shared" si="9"/>
        <v>1.7677253248077014</v>
      </c>
    </row>
    <row r="291" spans="1:7" ht="16.2" thickBot="1" x14ac:dyDescent="0.35">
      <c r="A291" s="134">
        <v>44705</v>
      </c>
      <c r="B291" s="135">
        <v>3661.7</v>
      </c>
      <c r="C291" s="139">
        <f t="shared" si="8"/>
        <v>-6.0596731573411393</v>
      </c>
      <c r="E291" s="136">
        <v>44705</v>
      </c>
      <c r="F291" s="137">
        <v>54307.56</v>
      </c>
      <c r="G291" s="139">
        <f t="shared" si="9"/>
        <v>-0.27982030831831362</v>
      </c>
    </row>
    <row r="292" spans="1:7" ht="16.2" thickBot="1" x14ac:dyDescent="0.35">
      <c r="A292" s="134">
        <v>44706</v>
      </c>
      <c r="B292" s="135">
        <v>3519.35</v>
      </c>
      <c r="C292" s="139">
        <f t="shared" si="8"/>
        <v>-3.8875385749788327</v>
      </c>
      <c r="E292" s="136">
        <v>44706</v>
      </c>
      <c r="F292" s="137">
        <v>54254.07</v>
      </c>
      <c r="G292" s="139">
        <f t="shared" si="9"/>
        <v>-9.8494574236069471E-2</v>
      </c>
    </row>
    <row r="293" spans="1:7" ht="16.2" thickBot="1" x14ac:dyDescent="0.35">
      <c r="A293" s="134">
        <v>44707</v>
      </c>
      <c r="B293" s="135">
        <v>3448.7</v>
      </c>
      <c r="C293" s="139">
        <f t="shared" si="8"/>
        <v>-2.0074729708610994</v>
      </c>
      <c r="E293" s="136">
        <v>44707</v>
      </c>
      <c r="F293" s="137">
        <v>53950.84</v>
      </c>
      <c r="G293" s="139">
        <f t="shared" si="9"/>
        <v>-0.55890737782437927</v>
      </c>
    </row>
    <row r="294" spans="1:7" ht="16.2" thickBot="1" x14ac:dyDescent="0.35">
      <c r="A294" s="134">
        <v>44708</v>
      </c>
      <c r="B294" s="135">
        <v>3514.7</v>
      </c>
      <c r="C294" s="139">
        <f t="shared" si="8"/>
        <v>1.9137646069533449</v>
      </c>
      <c r="E294" s="136">
        <v>44708</v>
      </c>
      <c r="F294" s="137">
        <v>54671.5</v>
      </c>
      <c r="G294" s="139">
        <f t="shared" si="9"/>
        <v>1.3357716024440092</v>
      </c>
    </row>
    <row r="295" spans="1:7" ht="16.2" thickBot="1" x14ac:dyDescent="0.35">
      <c r="A295" s="134">
        <v>44711</v>
      </c>
      <c r="B295" s="135">
        <v>3566.5</v>
      </c>
      <c r="C295" s="139">
        <f t="shared" si="8"/>
        <v>1.4738099980083701</v>
      </c>
      <c r="E295" s="136">
        <v>44711</v>
      </c>
      <c r="F295" s="137">
        <v>55507.75</v>
      </c>
      <c r="G295" s="139">
        <f t="shared" si="9"/>
        <v>1.5295903715830002</v>
      </c>
    </row>
    <row r="296" spans="1:7" ht="16.2" thickBot="1" x14ac:dyDescent="0.35">
      <c r="A296" s="134">
        <v>44712</v>
      </c>
      <c r="B296" s="135">
        <v>3591.3</v>
      </c>
      <c r="C296" s="139">
        <f t="shared" si="8"/>
        <v>0.69535959624282018</v>
      </c>
      <c r="E296" s="136">
        <v>44712</v>
      </c>
      <c r="F296" s="137">
        <v>55622.01</v>
      </c>
      <c r="G296" s="139">
        <f t="shared" si="9"/>
        <v>0.2058451297341399</v>
      </c>
    </row>
    <row r="297" spans="1:7" ht="16.2" thickBot="1" x14ac:dyDescent="0.35">
      <c r="A297" s="140">
        <v>44713</v>
      </c>
      <c r="B297" s="135">
        <v>3555.15</v>
      </c>
      <c r="C297" s="139">
        <f t="shared" si="8"/>
        <v>-1.0065992815971958</v>
      </c>
      <c r="E297" s="136">
        <v>44713</v>
      </c>
      <c r="F297" s="137">
        <v>55588.27</v>
      </c>
      <c r="G297" s="139">
        <f t="shared" si="9"/>
        <v>-6.0659440390602996E-2</v>
      </c>
    </row>
    <row r="298" spans="1:7" ht="16.2" thickBot="1" x14ac:dyDescent="0.35">
      <c r="A298" s="140">
        <v>44714</v>
      </c>
      <c r="B298" s="135">
        <v>3524.35</v>
      </c>
      <c r="C298" s="139">
        <f t="shared" si="8"/>
        <v>-0.8663488179120481</v>
      </c>
      <c r="E298" s="136">
        <v>44714</v>
      </c>
      <c r="F298" s="137">
        <v>55382.44</v>
      </c>
      <c r="G298" s="139">
        <f t="shared" si="9"/>
        <v>-0.37027595929859747</v>
      </c>
    </row>
    <row r="299" spans="1:7" ht="16.2" thickBot="1" x14ac:dyDescent="0.35">
      <c r="A299" s="140">
        <v>44715</v>
      </c>
      <c r="B299" s="135">
        <v>3478.3</v>
      </c>
      <c r="C299" s="139">
        <f t="shared" si="8"/>
        <v>-1.3066239164668585</v>
      </c>
      <c r="E299" s="136">
        <v>44715</v>
      </c>
      <c r="F299" s="137">
        <v>56245.599999999999</v>
      </c>
      <c r="G299" s="139">
        <f t="shared" si="9"/>
        <v>1.5585445494997985</v>
      </c>
    </row>
    <row r="300" spans="1:7" ht="16.2" thickBot="1" x14ac:dyDescent="0.35">
      <c r="A300" s="140">
        <v>44718</v>
      </c>
      <c r="B300" s="135">
        <v>3499.65</v>
      </c>
      <c r="C300" s="139">
        <f t="shared" si="8"/>
        <v>0.61380559468705709</v>
      </c>
      <c r="E300" s="136">
        <v>44718</v>
      </c>
      <c r="F300" s="137">
        <v>55610.64</v>
      </c>
      <c r="G300" s="139">
        <f t="shared" si="9"/>
        <v>-1.1289060833202937</v>
      </c>
    </row>
    <row r="301" spans="1:7" ht="16.2" thickBot="1" x14ac:dyDescent="0.35">
      <c r="A301" s="140">
        <v>44719</v>
      </c>
      <c r="B301" s="135">
        <v>3501.25</v>
      </c>
      <c r="C301" s="139">
        <f t="shared" si="8"/>
        <v>4.5718857600043121E-2</v>
      </c>
      <c r="E301" s="136">
        <v>44719</v>
      </c>
      <c r="F301" s="137">
        <v>55373.18</v>
      </c>
      <c r="G301" s="139">
        <f t="shared" si="9"/>
        <v>-0.42700461638276266</v>
      </c>
    </row>
    <row r="302" spans="1:7" ht="16.2" thickBot="1" x14ac:dyDescent="0.35">
      <c r="A302" s="140">
        <v>44720</v>
      </c>
      <c r="B302" s="135">
        <v>3495.3</v>
      </c>
      <c r="C302" s="139">
        <f t="shared" si="8"/>
        <v>-0.16993930739021257</v>
      </c>
      <c r="E302" s="136">
        <v>44720</v>
      </c>
      <c r="F302" s="137">
        <v>55345.51</v>
      </c>
      <c r="G302" s="139">
        <f t="shared" si="9"/>
        <v>-4.9970039647349591E-2</v>
      </c>
    </row>
    <row r="303" spans="1:7" ht="16.2" thickBot="1" x14ac:dyDescent="0.35">
      <c r="A303" s="140">
        <v>44721</v>
      </c>
      <c r="B303" s="135">
        <v>3507.2</v>
      </c>
      <c r="C303" s="139">
        <f t="shared" si="8"/>
        <v>0.34045718536319158</v>
      </c>
      <c r="E303" s="136">
        <v>44721</v>
      </c>
      <c r="F303" s="137">
        <v>54514.17</v>
      </c>
      <c r="G303" s="139">
        <f t="shared" si="9"/>
        <v>-1.5020911362096108</v>
      </c>
    </row>
    <row r="304" spans="1:7" ht="16.2" thickBot="1" x14ac:dyDescent="0.35">
      <c r="A304" s="140">
        <v>44722</v>
      </c>
      <c r="B304" s="135">
        <v>3528.05</v>
      </c>
      <c r="C304" s="139">
        <f t="shared" si="8"/>
        <v>0.59449133211679872</v>
      </c>
      <c r="E304" s="136">
        <v>44722</v>
      </c>
      <c r="F304" s="137">
        <v>54760.25</v>
      </c>
      <c r="G304" s="139">
        <f t="shared" si="9"/>
        <v>0.4514055703315335</v>
      </c>
    </row>
    <row r="305" spans="1:7" ht="16.2" thickBot="1" x14ac:dyDescent="0.35">
      <c r="A305" s="134">
        <v>44725</v>
      </c>
      <c r="B305" s="135">
        <v>3474.15</v>
      </c>
      <c r="C305" s="139">
        <f t="shared" si="8"/>
        <v>-1.5277561259052477</v>
      </c>
      <c r="E305" s="136">
        <v>44725</v>
      </c>
      <c r="F305" s="137">
        <v>53184.61</v>
      </c>
      <c r="G305" s="139">
        <f t="shared" si="9"/>
        <v>-2.8773425979611114</v>
      </c>
    </row>
    <row r="306" spans="1:7" ht="16.2" thickBot="1" x14ac:dyDescent="0.35">
      <c r="A306" s="134">
        <v>44726</v>
      </c>
      <c r="B306" s="135">
        <v>3525.65</v>
      </c>
      <c r="C306" s="139">
        <f t="shared" si="8"/>
        <v>1.4823769842983174</v>
      </c>
      <c r="E306" s="136">
        <v>44726</v>
      </c>
      <c r="F306" s="137">
        <v>52495.94</v>
      </c>
      <c r="G306" s="139">
        <f t="shared" si="9"/>
        <v>-1.2948670677476026</v>
      </c>
    </row>
    <row r="307" spans="1:7" ht="16.2" thickBot="1" x14ac:dyDescent="0.35">
      <c r="A307" s="134">
        <v>44727</v>
      </c>
      <c r="B307" s="135">
        <v>3581.1</v>
      </c>
      <c r="C307" s="139">
        <f t="shared" si="8"/>
        <v>1.5727596329754745</v>
      </c>
      <c r="E307" s="136">
        <v>44727</v>
      </c>
      <c r="F307" s="137">
        <v>52650.41</v>
      </c>
      <c r="G307" s="139">
        <f t="shared" si="9"/>
        <v>0.29425132686451783</v>
      </c>
    </row>
    <row r="308" spans="1:7" ht="16.2" thickBot="1" x14ac:dyDescent="0.35">
      <c r="A308" s="134">
        <v>44728</v>
      </c>
      <c r="B308" s="135">
        <v>3564.9</v>
      </c>
      <c r="C308" s="139">
        <f t="shared" si="8"/>
        <v>-0.45237496858506659</v>
      </c>
      <c r="E308" s="136">
        <v>44728</v>
      </c>
      <c r="F308" s="137">
        <v>53018.91</v>
      </c>
      <c r="G308" s="139">
        <f t="shared" si="9"/>
        <v>0.69989958292822407</v>
      </c>
    </row>
    <row r="309" spans="1:7" ht="16.2" thickBot="1" x14ac:dyDescent="0.35">
      <c r="A309" s="134">
        <v>44729</v>
      </c>
      <c r="B309" s="135">
        <v>3481.95</v>
      </c>
      <c r="C309" s="139">
        <f t="shared" si="8"/>
        <v>-2.3268534881763938</v>
      </c>
      <c r="E309" s="136">
        <v>44729</v>
      </c>
      <c r="F309" s="137">
        <v>51181.99</v>
      </c>
      <c r="G309" s="139">
        <f t="shared" si="9"/>
        <v>-3.4646506312559153</v>
      </c>
    </row>
    <row r="310" spans="1:7" ht="16.2" thickBot="1" x14ac:dyDescent="0.35">
      <c r="A310" s="134">
        <v>44732</v>
      </c>
      <c r="B310" s="135">
        <v>3533.55</v>
      </c>
      <c r="C310" s="139">
        <f t="shared" si="8"/>
        <v>1.4819282298712033</v>
      </c>
      <c r="E310" s="136">
        <v>44732</v>
      </c>
      <c r="F310" s="137">
        <v>51470.03</v>
      </c>
      <c r="G310" s="139">
        <f t="shared" si="9"/>
        <v>0.56277608588489991</v>
      </c>
    </row>
    <row r="311" spans="1:7" ht="16.2" thickBot="1" x14ac:dyDescent="0.35">
      <c r="A311" s="134">
        <v>44733</v>
      </c>
      <c r="B311" s="135">
        <v>3599.5</v>
      </c>
      <c r="C311" s="139">
        <f t="shared" si="8"/>
        <v>1.8663949852131656</v>
      </c>
      <c r="E311" s="136">
        <v>44733</v>
      </c>
      <c r="F311" s="137">
        <v>51897.599999999999</v>
      </c>
      <c r="G311" s="139">
        <f t="shared" si="9"/>
        <v>0.8307164382845702</v>
      </c>
    </row>
    <row r="312" spans="1:7" ht="16.2" thickBot="1" x14ac:dyDescent="0.35">
      <c r="A312" s="134">
        <v>44734</v>
      </c>
      <c r="B312" s="135">
        <v>3599.6</v>
      </c>
      <c r="C312" s="139">
        <f t="shared" si="8"/>
        <v>2.7781636338355064E-3</v>
      </c>
      <c r="E312" s="136">
        <v>44734</v>
      </c>
      <c r="F312" s="137">
        <v>52186.36</v>
      </c>
      <c r="G312" s="139">
        <f t="shared" si="9"/>
        <v>0.55640337896165148</v>
      </c>
    </row>
    <row r="313" spans="1:7" ht="16.2" thickBot="1" x14ac:dyDescent="0.35">
      <c r="A313" s="134">
        <v>44735</v>
      </c>
      <c r="B313" s="135">
        <v>3666.3</v>
      </c>
      <c r="C313" s="139">
        <f t="shared" si="8"/>
        <v>1.8529836648516578</v>
      </c>
      <c r="E313" s="136">
        <v>44735</v>
      </c>
      <c r="F313" s="137">
        <v>51972.75</v>
      </c>
      <c r="G313" s="139">
        <f t="shared" si="9"/>
        <v>-0.40932151619695373</v>
      </c>
    </row>
    <row r="314" spans="1:7" ht="16.2" thickBot="1" x14ac:dyDescent="0.35">
      <c r="A314" s="134">
        <v>44736</v>
      </c>
      <c r="B314" s="135">
        <v>3681</v>
      </c>
      <c r="C314" s="139">
        <f t="shared" si="8"/>
        <v>0.4009491858276687</v>
      </c>
      <c r="E314" s="136">
        <v>44736</v>
      </c>
      <c r="F314" s="137">
        <v>52654.239999999998</v>
      </c>
      <c r="G314" s="139">
        <f t="shared" si="9"/>
        <v>1.3112448350337398</v>
      </c>
    </row>
    <row r="315" spans="1:7" ht="16.2" thickBot="1" x14ac:dyDescent="0.35">
      <c r="A315" s="134">
        <v>44739</v>
      </c>
      <c r="B315" s="135">
        <v>3673.45</v>
      </c>
      <c r="C315" s="139">
        <f t="shared" si="8"/>
        <v>-0.20510730779679928</v>
      </c>
      <c r="E315" s="136">
        <v>44739</v>
      </c>
      <c r="F315" s="137">
        <v>53468.89</v>
      </c>
      <c r="G315" s="139">
        <f t="shared" si="9"/>
        <v>1.5471688509795249</v>
      </c>
    </row>
    <row r="316" spans="1:7" ht="16.2" thickBot="1" x14ac:dyDescent="0.35">
      <c r="A316" s="134">
        <v>44740</v>
      </c>
      <c r="B316" s="135">
        <v>3613.45</v>
      </c>
      <c r="C316" s="139">
        <f t="shared" si="8"/>
        <v>-1.6333419537492004</v>
      </c>
      <c r="E316" s="136">
        <v>44740</v>
      </c>
      <c r="F316" s="137">
        <v>52846.26</v>
      </c>
      <c r="G316" s="139">
        <f t="shared" si="9"/>
        <v>-1.1644715272750144</v>
      </c>
    </row>
    <row r="317" spans="1:7" ht="16.2" thickBot="1" x14ac:dyDescent="0.35">
      <c r="A317" s="134">
        <v>44741</v>
      </c>
      <c r="B317" s="135">
        <v>3583.35</v>
      </c>
      <c r="C317" s="139">
        <f t="shared" si="8"/>
        <v>-0.83299893453624407</v>
      </c>
      <c r="E317" s="136">
        <v>44741</v>
      </c>
      <c r="F317" s="137">
        <v>52623.15</v>
      </c>
      <c r="G317" s="139">
        <f t="shared" si="9"/>
        <v>-0.4221869248646935</v>
      </c>
    </row>
    <row r="318" spans="1:7" ht="16.2" thickBot="1" x14ac:dyDescent="0.35">
      <c r="A318" s="134">
        <v>44742</v>
      </c>
      <c r="B318" s="135">
        <v>3630.4</v>
      </c>
      <c r="C318" s="139">
        <f t="shared" si="8"/>
        <v>1.3130171487574527</v>
      </c>
      <c r="E318" s="136">
        <v>44742</v>
      </c>
      <c r="F318" s="137">
        <v>52897.16</v>
      </c>
      <c r="G318" s="139">
        <f t="shared" si="9"/>
        <v>0.52070239048784051</v>
      </c>
    </row>
    <row r="319" spans="1:7" ht="16.2" thickBot="1" x14ac:dyDescent="0.35">
      <c r="A319" s="140">
        <v>44743</v>
      </c>
      <c r="B319" s="135">
        <v>3637.55</v>
      </c>
      <c r="C319" s="139">
        <f t="shared" si="8"/>
        <v>0.19694799471132907</v>
      </c>
      <c r="E319" s="136">
        <v>44743</v>
      </c>
      <c r="F319" s="137">
        <v>52863.34</v>
      </c>
      <c r="G319" s="139">
        <f t="shared" si="9"/>
        <v>-6.3935379517552515E-2</v>
      </c>
    </row>
    <row r="320" spans="1:7" ht="16.2" thickBot="1" x14ac:dyDescent="0.35">
      <c r="A320" s="140">
        <v>44746</v>
      </c>
      <c r="B320" s="135">
        <v>3639.55</v>
      </c>
      <c r="C320" s="139">
        <f t="shared" si="8"/>
        <v>5.4982062102239139E-2</v>
      </c>
      <c r="E320" s="136">
        <v>44746</v>
      </c>
      <c r="F320" s="137">
        <v>52851.67</v>
      </c>
      <c r="G320" s="139">
        <f t="shared" si="9"/>
        <v>-2.207579014114177E-2</v>
      </c>
    </row>
    <row r="321" spans="1:7" ht="16.2" thickBot="1" x14ac:dyDescent="0.35">
      <c r="A321" s="140">
        <v>44747</v>
      </c>
      <c r="B321" s="135">
        <v>3610.05</v>
      </c>
      <c r="C321" s="139">
        <f t="shared" si="8"/>
        <v>-0.81053976453132948</v>
      </c>
      <c r="E321" s="136">
        <v>44747</v>
      </c>
      <c r="F321" s="137">
        <v>53501.21</v>
      </c>
      <c r="G321" s="139">
        <f t="shared" si="9"/>
        <v>1.2289867094076705</v>
      </c>
    </row>
    <row r="322" spans="1:7" ht="16.2" thickBot="1" x14ac:dyDescent="0.35">
      <c r="A322" s="140">
        <v>44748</v>
      </c>
      <c r="B322" s="135">
        <v>3644.8</v>
      </c>
      <c r="C322" s="139">
        <f t="shared" si="8"/>
        <v>0.96259054583731529</v>
      </c>
      <c r="E322" s="136">
        <v>44748</v>
      </c>
      <c r="F322" s="137">
        <v>53170.7</v>
      </c>
      <c r="G322" s="139">
        <f t="shared" si="9"/>
        <v>-0.61776172912725169</v>
      </c>
    </row>
    <row r="323" spans="1:7" ht="16.2" thickBot="1" x14ac:dyDescent="0.35">
      <c r="A323" s="140">
        <v>44749</v>
      </c>
      <c r="B323" s="135">
        <v>3656.4</v>
      </c>
      <c r="C323" s="139">
        <f t="shared" si="8"/>
        <v>0.31826163301141103</v>
      </c>
      <c r="E323" s="136">
        <v>44749</v>
      </c>
      <c r="F323" s="137">
        <v>54146.68</v>
      </c>
      <c r="G323" s="139">
        <f t="shared" si="9"/>
        <v>1.8355598101962232</v>
      </c>
    </row>
    <row r="324" spans="1:7" ht="16.2" thickBot="1" x14ac:dyDescent="0.35">
      <c r="A324" s="140">
        <v>44750</v>
      </c>
      <c r="B324" s="135">
        <v>3671.3</v>
      </c>
      <c r="C324" s="139">
        <f t="shared" si="8"/>
        <v>0.40750464938190817</v>
      </c>
      <c r="E324" s="136">
        <v>44750</v>
      </c>
      <c r="F324" s="137">
        <v>54574.43</v>
      </c>
      <c r="G324" s="139">
        <f t="shared" si="9"/>
        <v>0.78998379956074871</v>
      </c>
    </row>
    <row r="325" spans="1:7" ht="16.2" thickBot="1" x14ac:dyDescent="0.35">
      <c r="A325" s="140">
        <v>44753</v>
      </c>
      <c r="B325" s="135">
        <v>3734.1</v>
      </c>
      <c r="C325" s="139">
        <f t="shared" si="8"/>
        <v>1.710565739656245</v>
      </c>
      <c r="E325" s="136">
        <v>44753</v>
      </c>
      <c r="F325" s="137">
        <v>54248.6</v>
      </c>
      <c r="G325" s="139">
        <f t="shared" si="9"/>
        <v>-0.59703784354688039</v>
      </c>
    </row>
    <row r="326" spans="1:7" ht="16.2" thickBot="1" x14ac:dyDescent="0.35">
      <c r="A326" s="140">
        <v>44754</v>
      </c>
      <c r="B326" s="135">
        <v>3687.45</v>
      </c>
      <c r="C326" s="139">
        <f t="shared" si="8"/>
        <v>-1.2492970193620978</v>
      </c>
      <c r="E326" s="136">
        <v>44754</v>
      </c>
      <c r="F326" s="137">
        <v>54219.78</v>
      </c>
      <c r="G326" s="139">
        <f t="shared" si="9"/>
        <v>-5.3125794951389915E-2</v>
      </c>
    </row>
    <row r="327" spans="1:7" ht="16.2" thickBot="1" x14ac:dyDescent="0.35">
      <c r="A327" s="134">
        <v>44755</v>
      </c>
      <c r="B327" s="135">
        <v>3778.8</v>
      </c>
      <c r="C327" s="139">
        <f t="shared" si="8"/>
        <v>2.4773217263962999</v>
      </c>
      <c r="E327" s="136">
        <v>44755</v>
      </c>
      <c r="F327" s="137">
        <v>54210.1</v>
      </c>
      <c r="G327" s="139">
        <f t="shared" si="9"/>
        <v>-1.7853263144926614E-2</v>
      </c>
    </row>
    <row r="328" spans="1:7" ht="16.2" thickBot="1" x14ac:dyDescent="0.35">
      <c r="A328" s="134">
        <v>44756</v>
      </c>
      <c r="B328" s="135">
        <v>3733.8</v>
      </c>
      <c r="C328" s="139">
        <f t="shared" ref="C328:C391" si="10">(B328-B327)/B327*100</f>
        <v>-1.1908542394410924</v>
      </c>
      <c r="E328" s="136">
        <v>44756</v>
      </c>
      <c r="F328" s="137">
        <v>53688.62</v>
      </c>
      <c r="G328" s="139">
        <f t="shared" ref="G328:G391" si="11">(F328-F327)/F327*100</f>
        <v>-0.96196096299397338</v>
      </c>
    </row>
    <row r="329" spans="1:7" ht="16.2" thickBot="1" x14ac:dyDescent="0.35">
      <c r="A329" s="134">
        <v>44757</v>
      </c>
      <c r="B329" s="135">
        <v>3727.75</v>
      </c>
      <c r="C329" s="139">
        <f t="shared" si="10"/>
        <v>-0.16203331726391829</v>
      </c>
      <c r="E329" s="136">
        <v>44757</v>
      </c>
      <c r="F329" s="137">
        <v>53637.88</v>
      </c>
      <c r="G329" s="139">
        <f t="shared" si="11"/>
        <v>-9.4507923653104203E-2</v>
      </c>
    </row>
    <row r="330" spans="1:7" ht="16.2" thickBot="1" x14ac:dyDescent="0.35">
      <c r="A330" s="134">
        <v>44760</v>
      </c>
      <c r="B330" s="135">
        <v>3738.45</v>
      </c>
      <c r="C330" s="139">
        <f t="shared" si="10"/>
        <v>0.28703641606866925</v>
      </c>
      <c r="E330" s="136">
        <v>44760</v>
      </c>
      <c r="F330" s="137">
        <v>54069.3</v>
      </c>
      <c r="G330" s="139">
        <f t="shared" si="11"/>
        <v>0.80431963381104088</v>
      </c>
    </row>
    <row r="331" spans="1:7" ht="16.2" thickBot="1" x14ac:dyDescent="0.35">
      <c r="A331" s="134">
        <v>44761</v>
      </c>
      <c r="B331" s="135">
        <v>3753.25</v>
      </c>
      <c r="C331" s="139">
        <f t="shared" si="10"/>
        <v>0.39588599553291293</v>
      </c>
      <c r="E331" s="136">
        <v>44761</v>
      </c>
      <c r="F331" s="137">
        <v>54251.88</v>
      </c>
      <c r="G331" s="139">
        <f t="shared" si="11"/>
        <v>0.33767775798834915</v>
      </c>
    </row>
    <row r="332" spans="1:7" ht="16.2" thickBot="1" x14ac:dyDescent="0.35">
      <c r="A332" s="134">
        <v>44762</v>
      </c>
      <c r="B332" s="135">
        <v>3741.65</v>
      </c>
      <c r="C332" s="139">
        <f t="shared" si="10"/>
        <v>-0.30906547658695555</v>
      </c>
      <c r="E332" s="136">
        <v>44762</v>
      </c>
      <c r="F332" s="137">
        <v>55486.12</v>
      </c>
      <c r="G332" s="139">
        <f t="shared" si="11"/>
        <v>2.2750179348623591</v>
      </c>
    </row>
    <row r="333" spans="1:7" ht="16.2" thickBot="1" x14ac:dyDescent="0.35">
      <c r="A333" s="134">
        <v>44763</v>
      </c>
      <c r="B333" s="135">
        <v>3794.5</v>
      </c>
      <c r="C333" s="139">
        <f t="shared" si="10"/>
        <v>1.4124784520198284</v>
      </c>
      <c r="E333" s="136">
        <v>44763</v>
      </c>
      <c r="F333" s="137">
        <v>55391.93</v>
      </c>
      <c r="G333" s="139">
        <f t="shared" si="11"/>
        <v>-0.16975416554627054</v>
      </c>
    </row>
    <row r="334" spans="1:7" ht="16.2" thickBot="1" x14ac:dyDescent="0.35">
      <c r="A334" s="134">
        <v>44764</v>
      </c>
      <c r="B334" s="135">
        <v>3796.75</v>
      </c>
      <c r="C334" s="139">
        <f t="shared" si="10"/>
        <v>5.9296349980234551E-2</v>
      </c>
      <c r="E334" s="136">
        <v>44764</v>
      </c>
      <c r="F334" s="137">
        <v>55800.84</v>
      </c>
      <c r="G334" s="139">
        <f t="shared" si="11"/>
        <v>0.73821222694352095</v>
      </c>
    </row>
    <row r="335" spans="1:7" ht="16.2" thickBot="1" x14ac:dyDescent="0.35">
      <c r="A335" s="134">
        <v>44767</v>
      </c>
      <c r="B335" s="135">
        <v>3774.3</v>
      </c>
      <c r="C335" s="139">
        <f t="shared" si="10"/>
        <v>-0.59129518667280756</v>
      </c>
      <c r="E335" s="136">
        <v>44767</v>
      </c>
      <c r="F335" s="137">
        <v>55877.5</v>
      </c>
      <c r="G335" s="139">
        <f t="shared" si="11"/>
        <v>0.13738144443704342</v>
      </c>
    </row>
    <row r="336" spans="1:7" ht="16.2" thickBot="1" x14ac:dyDescent="0.35">
      <c r="A336" s="134">
        <v>44768</v>
      </c>
      <c r="B336" s="135">
        <v>3687</v>
      </c>
      <c r="C336" s="139">
        <f t="shared" si="10"/>
        <v>-2.3130116842858324</v>
      </c>
      <c r="E336" s="136">
        <v>44768</v>
      </c>
      <c r="F336" s="137">
        <v>55834.38</v>
      </c>
      <c r="G336" s="139">
        <f t="shared" si="11"/>
        <v>-7.7168806764802686E-2</v>
      </c>
    </row>
    <row r="337" spans="1:7" ht="16.2" thickBot="1" x14ac:dyDescent="0.35">
      <c r="A337" s="134">
        <v>44769</v>
      </c>
      <c r="B337" s="135">
        <v>3786.45</v>
      </c>
      <c r="C337" s="139">
        <f t="shared" si="10"/>
        <v>2.6973148901545922</v>
      </c>
      <c r="E337" s="136">
        <v>44769</v>
      </c>
      <c r="F337" s="137">
        <v>55258.29</v>
      </c>
      <c r="G337" s="139">
        <f t="shared" si="11"/>
        <v>-1.0317836429812537</v>
      </c>
    </row>
    <row r="338" spans="1:7" ht="16.2" thickBot="1" x14ac:dyDescent="0.35">
      <c r="A338" s="134">
        <v>44770</v>
      </c>
      <c r="B338" s="135">
        <v>3849.65</v>
      </c>
      <c r="C338" s="139">
        <f t="shared" si="10"/>
        <v>1.6691095881366524</v>
      </c>
      <c r="E338" s="136">
        <v>44770</v>
      </c>
      <c r="F338" s="137">
        <v>56267.55</v>
      </c>
      <c r="G338" s="139">
        <f t="shared" si="11"/>
        <v>1.826440883349814</v>
      </c>
    </row>
    <row r="339" spans="1:7" ht="16.2" thickBot="1" x14ac:dyDescent="0.35">
      <c r="A339" s="134">
        <v>44771</v>
      </c>
      <c r="B339" s="135">
        <v>3831.65</v>
      </c>
      <c r="C339" s="139">
        <f t="shared" si="10"/>
        <v>-0.46757497434831735</v>
      </c>
      <c r="E339" s="136">
        <v>44771</v>
      </c>
      <c r="F339" s="137">
        <v>57258.13</v>
      </c>
      <c r="G339" s="139">
        <f t="shared" si="11"/>
        <v>1.7604818407767791</v>
      </c>
    </row>
    <row r="340" spans="1:7" ht="16.2" thickBot="1" x14ac:dyDescent="0.35">
      <c r="A340" s="140">
        <v>44774</v>
      </c>
      <c r="B340" s="135">
        <v>3795.2</v>
      </c>
      <c r="C340" s="139">
        <f t="shared" si="10"/>
        <v>-0.95128730442499365</v>
      </c>
      <c r="E340" s="136">
        <v>44774</v>
      </c>
      <c r="F340" s="137">
        <v>57823.1</v>
      </c>
      <c r="G340" s="139">
        <f t="shared" si="11"/>
        <v>0.9867070405547671</v>
      </c>
    </row>
    <row r="341" spans="1:7" ht="16.2" thickBot="1" x14ac:dyDescent="0.35">
      <c r="A341" s="140">
        <v>44775</v>
      </c>
      <c r="B341" s="135">
        <v>3824.9</v>
      </c>
      <c r="C341" s="139">
        <f t="shared" si="10"/>
        <v>0.78256745362563962</v>
      </c>
      <c r="E341" s="136">
        <v>44775</v>
      </c>
      <c r="F341" s="137">
        <v>58049.02</v>
      </c>
      <c r="G341" s="139">
        <f t="shared" si="11"/>
        <v>0.39070890353508941</v>
      </c>
    </row>
    <row r="342" spans="1:7" ht="16.2" thickBot="1" x14ac:dyDescent="0.35">
      <c r="A342" s="140">
        <v>44776</v>
      </c>
      <c r="B342" s="135">
        <v>3820.85</v>
      </c>
      <c r="C342" s="139">
        <f t="shared" si="10"/>
        <v>-0.10588512117964344</v>
      </c>
      <c r="E342" s="136">
        <v>44776</v>
      </c>
      <c r="F342" s="137">
        <v>58174.11</v>
      </c>
      <c r="G342" s="139">
        <f t="shared" si="11"/>
        <v>0.21549028734680412</v>
      </c>
    </row>
    <row r="343" spans="1:7" ht="16.2" thickBot="1" x14ac:dyDescent="0.35">
      <c r="A343" s="140">
        <v>44777</v>
      </c>
      <c r="B343" s="135">
        <v>3888.15</v>
      </c>
      <c r="C343" s="139">
        <f t="shared" si="10"/>
        <v>1.7613881727887821</v>
      </c>
      <c r="E343" s="136">
        <v>44777</v>
      </c>
      <c r="F343" s="137">
        <v>58571.28</v>
      </c>
      <c r="G343" s="139">
        <f t="shared" si="11"/>
        <v>0.68272638807881758</v>
      </c>
    </row>
    <row r="344" spans="1:7" ht="16.2" thickBot="1" x14ac:dyDescent="0.35">
      <c r="A344" s="140">
        <v>44778</v>
      </c>
      <c r="B344" s="135">
        <v>3912.2</v>
      </c>
      <c r="C344" s="139">
        <f t="shared" si="10"/>
        <v>0.61854609518664982</v>
      </c>
      <c r="E344" s="136">
        <v>44778</v>
      </c>
      <c r="F344" s="137">
        <v>58421.04</v>
      </c>
      <c r="G344" s="139">
        <f t="shared" si="11"/>
        <v>-0.25650796772752443</v>
      </c>
    </row>
    <row r="345" spans="1:7" ht="16.2" thickBot="1" x14ac:dyDescent="0.35">
      <c r="A345" s="140">
        <v>44781</v>
      </c>
      <c r="B345" s="135">
        <v>3937.6</v>
      </c>
      <c r="C345" s="139">
        <f t="shared" si="10"/>
        <v>0.64925106078421591</v>
      </c>
      <c r="E345" s="136">
        <v>44781</v>
      </c>
      <c r="F345" s="137">
        <v>58417.71</v>
      </c>
      <c r="G345" s="139">
        <f t="shared" si="11"/>
        <v>-5.7000012324356876E-3</v>
      </c>
    </row>
    <row r="346" spans="1:7" ht="16.2" thickBot="1" x14ac:dyDescent="0.35">
      <c r="A346" s="140">
        <v>44783</v>
      </c>
      <c r="B346" s="135">
        <v>3948.8</v>
      </c>
      <c r="C346" s="139">
        <f t="shared" si="10"/>
        <v>0.28443722064202237</v>
      </c>
      <c r="E346" s="136">
        <v>44783</v>
      </c>
      <c r="F346" s="137">
        <v>58977.34</v>
      </c>
      <c r="G346" s="139">
        <f t="shared" si="11"/>
        <v>0.95798003721816116</v>
      </c>
    </row>
    <row r="347" spans="1:7" ht="16.2" thickBot="1" x14ac:dyDescent="0.35">
      <c r="A347" s="140">
        <v>44784</v>
      </c>
      <c r="B347" s="135">
        <v>3948.05</v>
      </c>
      <c r="C347" s="139">
        <f t="shared" si="10"/>
        <v>-1.8993111831442464E-2</v>
      </c>
      <c r="E347" s="136">
        <v>44784</v>
      </c>
      <c r="F347" s="137">
        <v>59320.45</v>
      </c>
      <c r="G347" s="139">
        <f t="shared" si="11"/>
        <v>0.5817658103942982</v>
      </c>
    </row>
    <row r="348" spans="1:7" ht="16.2" thickBot="1" x14ac:dyDescent="0.35">
      <c r="A348" s="140">
        <v>44785</v>
      </c>
      <c r="B348" s="135">
        <v>3726.2</v>
      </c>
      <c r="C348" s="139">
        <f t="shared" si="10"/>
        <v>-5.6192297463304755</v>
      </c>
      <c r="E348" s="136">
        <v>44785</v>
      </c>
      <c r="F348" s="137">
        <v>59235.98</v>
      </c>
      <c r="G348" s="139">
        <f t="shared" si="11"/>
        <v>-0.14239608768981674</v>
      </c>
    </row>
    <row r="349" spans="1:7" ht="16.2" thickBot="1" x14ac:dyDescent="0.35">
      <c r="A349" s="134">
        <v>44789</v>
      </c>
      <c r="B349" s="135">
        <v>3732</v>
      </c>
      <c r="C349" s="139">
        <f t="shared" si="10"/>
        <v>0.15565455423756594</v>
      </c>
      <c r="E349" s="136">
        <v>44789</v>
      </c>
      <c r="F349" s="137">
        <v>59675.12</v>
      </c>
      <c r="G349" s="139">
        <f t="shared" si="11"/>
        <v>0.74133997614287706</v>
      </c>
    </row>
    <row r="350" spans="1:7" ht="16.2" thickBot="1" x14ac:dyDescent="0.35">
      <c r="A350" s="134">
        <v>44790</v>
      </c>
      <c r="B350" s="135">
        <v>3748.4</v>
      </c>
      <c r="C350" s="139">
        <f t="shared" si="10"/>
        <v>0.4394426580921782</v>
      </c>
      <c r="E350" s="136">
        <v>44790</v>
      </c>
      <c r="F350" s="137">
        <v>59938.05</v>
      </c>
      <c r="G350" s="139">
        <f t="shared" si="11"/>
        <v>0.44060238169609089</v>
      </c>
    </row>
    <row r="351" spans="1:7" ht="16.2" thickBot="1" x14ac:dyDescent="0.35">
      <c r="A351" s="134">
        <v>44791</v>
      </c>
      <c r="B351" s="135">
        <v>3743.6</v>
      </c>
      <c r="C351" s="139">
        <f t="shared" si="10"/>
        <v>-0.12805463664497335</v>
      </c>
      <c r="E351" s="136">
        <v>44791</v>
      </c>
      <c r="F351" s="137">
        <v>60080.19</v>
      </c>
      <c r="G351" s="139">
        <f t="shared" si="11"/>
        <v>0.23714485205975069</v>
      </c>
    </row>
    <row r="352" spans="1:7" ht="16.2" thickBot="1" x14ac:dyDescent="0.35">
      <c r="A352" s="134">
        <v>44792</v>
      </c>
      <c r="B352" s="135">
        <v>3696.2</v>
      </c>
      <c r="C352" s="139">
        <f t="shared" si="10"/>
        <v>-1.2661609146276336</v>
      </c>
      <c r="E352" s="136">
        <v>44792</v>
      </c>
      <c r="F352" s="137">
        <v>60351.23</v>
      </c>
      <c r="G352" s="139">
        <f t="shared" si="11"/>
        <v>0.45113039755699985</v>
      </c>
    </row>
    <row r="353" spans="1:7" ht="16.2" thickBot="1" x14ac:dyDescent="0.35">
      <c r="A353" s="134">
        <v>44795</v>
      </c>
      <c r="B353" s="135">
        <v>3580.65</v>
      </c>
      <c r="C353" s="139">
        <f t="shared" si="10"/>
        <v>-3.1261836480709846</v>
      </c>
      <c r="E353" s="136">
        <v>44795</v>
      </c>
      <c r="F353" s="137">
        <v>59361.08</v>
      </c>
      <c r="G353" s="139">
        <f t="shared" si="11"/>
        <v>-1.6406459321541604</v>
      </c>
    </row>
    <row r="354" spans="1:7" ht="16.2" thickBot="1" x14ac:dyDescent="0.35">
      <c r="A354" s="134">
        <v>44796</v>
      </c>
      <c r="B354" s="135">
        <v>3532.3</v>
      </c>
      <c r="C354" s="139">
        <f t="shared" si="10"/>
        <v>-1.3503134905673526</v>
      </c>
      <c r="E354" s="136">
        <v>44796</v>
      </c>
      <c r="F354" s="137">
        <v>58205.97</v>
      </c>
      <c r="G354" s="139">
        <f t="shared" si="11"/>
        <v>-1.9459046230290968</v>
      </c>
    </row>
    <row r="355" spans="1:7" ht="16.2" thickBot="1" x14ac:dyDescent="0.35">
      <c r="A355" s="134">
        <v>44797</v>
      </c>
      <c r="B355" s="135">
        <v>3496.65</v>
      </c>
      <c r="C355" s="139">
        <f t="shared" si="10"/>
        <v>-1.0092574243410835</v>
      </c>
      <c r="E355" s="136">
        <v>44797</v>
      </c>
      <c r="F355" s="137">
        <v>58853.32</v>
      </c>
      <c r="G355" s="139">
        <f t="shared" si="11"/>
        <v>1.1121711398332483</v>
      </c>
    </row>
    <row r="356" spans="1:7" ht="16.2" thickBot="1" x14ac:dyDescent="0.35">
      <c r="A356" s="134">
        <v>44798</v>
      </c>
      <c r="B356" s="135">
        <v>3535.85</v>
      </c>
      <c r="C356" s="139">
        <f t="shared" si="10"/>
        <v>1.1210730270401619</v>
      </c>
      <c r="E356" s="136">
        <v>44798</v>
      </c>
      <c r="F356" s="137">
        <v>59315.98</v>
      </c>
      <c r="G356" s="139">
        <f t="shared" si="11"/>
        <v>0.78612387542453599</v>
      </c>
    </row>
    <row r="357" spans="1:7" ht="16.2" thickBot="1" x14ac:dyDescent="0.35">
      <c r="A357" s="134">
        <v>44799</v>
      </c>
      <c r="B357" s="135">
        <v>3587.5</v>
      </c>
      <c r="C357" s="139">
        <f t="shared" si="10"/>
        <v>1.4607520115389536</v>
      </c>
      <c r="E357" s="136">
        <v>44799</v>
      </c>
      <c r="F357" s="137">
        <v>59050.67</v>
      </c>
      <c r="G357" s="139">
        <f t="shared" si="11"/>
        <v>-0.44728250296126765</v>
      </c>
    </row>
    <row r="358" spans="1:7" ht="16.2" thickBot="1" x14ac:dyDescent="0.35">
      <c r="A358" s="134">
        <v>44802</v>
      </c>
      <c r="B358" s="135">
        <v>3582.45</v>
      </c>
      <c r="C358" s="139">
        <f t="shared" si="10"/>
        <v>-0.14076655052265316</v>
      </c>
      <c r="E358" s="136">
        <v>44802</v>
      </c>
      <c r="F358" s="137">
        <v>57367.47</v>
      </c>
      <c r="G358" s="139">
        <f t="shared" si="11"/>
        <v>-2.8504333651082998</v>
      </c>
    </row>
    <row r="359" spans="1:7" ht="16.2" thickBot="1" x14ac:dyDescent="0.35">
      <c r="A359" s="134">
        <v>44803</v>
      </c>
      <c r="B359" s="135">
        <v>3626.85</v>
      </c>
      <c r="C359" s="139">
        <f t="shared" si="10"/>
        <v>1.2393752878616615</v>
      </c>
      <c r="E359" s="136">
        <v>44803</v>
      </c>
      <c r="F359" s="137">
        <v>58259.85</v>
      </c>
      <c r="G359" s="139">
        <f t="shared" si="11"/>
        <v>1.5555505585308143</v>
      </c>
    </row>
    <row r="360" spans="1:7" ht="16.2" thickBot="1" x14ac:dyDescent="0.35">
      <c r="A360" s="140">
        <v>44805</v>
      </c>
      <c r="B360" s="135">
        <v>3599.2</v>
      </c>
      <c r="C360" s="139">
        <f t="shared" si="10"/>
        <v>-0.76236954933344614</v>
      </c>
      <c r="E360" s="136">
        <v>44805</v>
      </c>
      <c r="F360" s="137">
        <v>58710.53</v>
      </c>
      <c r="G360" s="139">
        <f t="shared" si="11"/>
        <v>0.77356876133392094</v>
      </c>
    </row>
    <row r="361" spans="1:7" ht="16.2" thickBot="1" x14ac:dyDescent="0.35">
      <c r="A361" s="140">
        <v>44806</v>
      </c>
      <c r="B361" s="135">
        <v>3598.15</v>
      </c>
      <c r="C361" s="139">
        <f t="shared" si="10"/>
        <v>-2.9173149588789932E-2</v>
      </c>
      <c r="E361" s="136">
        <v>44806</v>
      </c>
      <c r="F361" s="137">
        <v>58969.02</v>
      </c>
      <c r="G361" s="139">
        <f t="shared" si="11"/>
        <v>0.44027877111652369</v>
      </c>
    </row>
    <row r="362" spans="1:7" ht="16.2" thickBot="1" x14ac:dyDescent="0.35">
      <c r="A362" s="140">
        <v>44809</v>
      </c>
      <c r="B362" s="135">
        <v>3592.75</v>
      </c>
      <c r="C362" s="139">
        <f t="shared" si="10"/>
        <v>-0.15007712296597114</v>
      </c>
      <c r="E362" s="136">
        <v>44809</v>
      </c>
      <c r="F362" s="137">
        <v>58814.080000000002</v>
      </c>
      <c r="G362" s="139">
        <f t="shared" si="11"/>
        <v>-0.26274813452893581</v>
      </c>
    </row>
    <row r="363" spans="1:7" ht="16.2" thickBot="1" x14ac:dyDescent="0.35">
      <c r="A363" s="140">
        <v>44810</v>
      </c>
      <c r="B363" s="135">
        <v>3585.5</v>
      </c>
      <c r="C363" s="139">
        <f t="shared" si="10"/>
        <v>-0.20179528216547213</v>
      </c>
      <c r="E363" s="136">
        <v>44810</v>
      </c>
      <c r="F363" s="137">
        <v>59285.36</v>
      </c>
      <c r="G363" s="139">
        <f t="shared" si="11"/>
        <v>0.80130472159047428</v>
      </c>
    </row>
    <row r="364" spans="1:7" ht="16.2" thickBot="1" x14ac:dyDescent="0.35">
      <c r="A364" s="140">
        <v>44811</v>
      </c>
      <c r="B364" s="135">
        <v>3590.95</v>
      </c>
      <c r="C364" s="139">
        <f t="shared" si="10"/>
        <v>0.15200111560451313</v>
      </c>
      <c r="E364" s="136">
        <v>44811</v>
      </c>
      <c r="F364" s="137">
        <v>58789.26</v>
      </c>
      <c r="G364" s="139">
        <f t="shared" si="11"/>
        <v>-0.83680018136011747</v>
      </c>
    </row>
    <row r="365" spans="1:7" ht="16.2" thickBot="1" x14ac:dyDescent="0.35">
      <c r="A365" s="140">
        <v>44812</v>
      </c>
      <c r="B365" s="135">
        <v>3568.4</v>
      </c>
      <c r="C365" s="139">
        <f t="shared" si="10"/>
        <v>-0.62796752948383383</v>
      </c>
      <c r="E365" s="136">
        <v>44812</v>
      </c>
      <c r="F365" s="137">
        <v>59374.99</v>
      </c>
      <c r="G365" s="139">
        <f t="shared" si="11"/>
        <v>0.99632143694272712</v>
      </c>
    </row>
    <row r="366" spans="1:7" ht="16.2" thickBot="1" x14ac:dyDescent="0.35">
      <c r="A366" s="140">
        <v>44813</v>
      </c>
      <c r="B366" s="135">
        <v>3603</v>
      </c>
      <c r="C366" s="139">
        <f t="shared" si="10"/>
        <v>0.96962223965922845</v>
      </c>
      <c r="E366" s="136">
        <v>44813</v>
      </c>
      <c r="F366" s="137">
        <v>60045.75</v>
      </c>
      <c r="G366" s="139">
        <f t="shared" si="11"/>
        <v>1.1297012428970548</v>
      </c>
    </row>
    <row r="367" spans="1:7" ht="16.2" thickBot="1" x14ac:dyDescent="0.35">
      <c r="A367" s="140">
        <v>44816</v>
      </c>
      <c r="B367" s="135">
        <v>3678</v>
      </c>
      <c r="C367" s="139">
        <f t="shared" si="10"/>
        <v>2.0815986677768525</v>
      </c>
      <c r="E367" s="136">
        <v>44816</v>
      </c>
      <c r="F367" s="137">
        <v>59912.29</v>
      </c>
      <c r="G367" s="139">
        <f t="shared" si="11"/>
        <v>-0.22226385714226091</v>
      </c>
    </row>
    <row r="368" spans="1:7" ht="16.2" thickBot="1" x14ac:dyDescent="0.35">
      <c r="A368" s="134">
        <v>44817</v>
      </c>
      <c r="B368" s="135">
        <v>3667.6</v>
      </c>
      <c r="C368" s="139">
        <f t="shared" si="10"/>
        <v>-0.2827623708537273</v>
      </c>
      <c r="E368" s="136">
        <v>44817</v>
      </c>
      <c r="F368" s="137">
        <v>60408.29</v>
      </c>
      <c r="G368" s="139">
        <f t="shared" si="11"/>
        <v>0.82787688469260645</v>
      </c>
    </row>
    <row r="369" spans="1:7" ht="16.2" thickBot="1" x14ac:dyDescent="0.35">
      <c r="A369" s="134">
        <v>44818</v>
      </c>
      <c r="B369" s="135">
        <v>3668.55</v>
      </c>
      <c r="C369" s="139">
        <f t="shared" si="10"/>
        <v>2.5902497546086624E-2</v>
      </c>
      <c r="E369" s="136">
        <v>44818</v>
      </c>
      <c r="F369" s="137">
        <v>59417.120000000003</v>
      </c>
      <c r="G369" s="139">
        <f t="shared" si="11"/>
        <v>-1.6407847333536476</v>
      </c>
    </row>
    <row r="370" spans="1:7" ht="16.2" thickBot="1" x14ac:dyDescent="0.35">
      <c r="A370" s="134">
        <v>44819</v>
      </c>
      <c r="B370" s="135">
        <v>3605.45</v>
      </c>
      <c r="C370" s="139">
        <f t="shared" si="10"/>
        <v>-1.7200256232026374</v>
      </c>
      <c r="E370" s="136">
        <v>44819</v>
      </c>
      <c r="F370" s="137">
        <v>60454.37</v>
      </c>
      <c r="G370" s="139">
        <f t="shared" si="11"/>
        <v>1.7457089808459245</v>
      </c>
    </row>
    <row r="371" spans="1:7" ht="16.2" thickBot="1" x14ac:dyDescent="0.35">
      <c r="A371" s="134">
        <v>44820</v>
      </c>
      <c r="B371" s="135">
        <v>3573.7</v>
      </c>
      <c r="C371" s="139">
        <f t="shared" si="10"/>
        <v>-0.88061129678680894</v>
      </c>
      <c r="E371" s="136">
        <v>44820</v>
      </c>
      <c r="F371" s="137">
        <v>59585.72</v>
      </c>
      <c r="G371" s="139">
        <f t="shared" si="11"/>
        <v>-1.4368688318148075</v>
      </c>
    </row>
    <row r="372" spans="1:7" ht="16.2" thickBot="1" x14ac:dyDescent="0.35">
      <c r="A372" s="134">
        <v>44823</v>
      </c>
      <c r="B372" s="135">
        <v>3619.55</v>
      </c>
      <c r="C372" s="139">
        <f t="shared" si="10"/>
        <v>1.2829840221619153</v>
      </c>
      <c r="E372" s="136">
        <v>44823</v>
      </c>
      <c r="F372" s="137">
        <v>58747.31</v>
      </c>
      <c r="G372" s="139">
        <f t="shared" si="11"/>
        <v>-1.4070653169920637</v>
      </c>
    </row>
    <row r="373" spans="1:7" ht="16.2" thickBot="1" x14ac:dyDescent="0.35">
      <c r="A373" s="134">
        <v>44824</v>
      </c>
      <c r="B373" s="135">
        <v>3631.55</v>
      </c>
      <c r="C373" s="139">
        <f t="shared" si="10"/>
        <v>0.33153292536365014</v>
      </c>
      <c r="E373" s="136">
        <v>44824</v>
      </c>
      <c r="F373" s="137">
        <v>59556.91</v>
      </c>
      <c r="G373" s="139">
        <f t="shared" si="11"/>
        <v>1.3781056528375613</v>
      </c>
    </row>
    <row r="374" spans="1:7" ht="16.2" thickBot="1" x14ac:dyDescent="0.35">
      <c r="A374" s="134">
        <v>44825</v>
      </c>
      <c r="B374" s="135">
        <v>3573.7</v>
      </c>
      <c r="C374" s="139">
        <f t="shared" si="10"/>
        <v>-1.5929837121890202</v>
      </c>
      <c r="E374" s="136">
        <v>44825</v>
      </c>
      <c r="F374" s="137">
        <v>59504.14</v>
      </c>
      <c r="G374" s="139">
        <f t="shared" si="11"/>
        <v>-8.8604328196348794E-2</v>
      </c>
    </row>
    <row r="375" spans="1:7" ht="16.2" thickBot="1" x14ac:dyDescent="0.35">
      <c r="A375" s="134">
        <v>44826</v>
      </c>
      <c r="B375" s="135">
        <v>3580.1</v>
      </c>
      <c r="C375" s="139">
        <f t="shared" si="10"/>
        <v>0.17908610123961416</v>
      </c>
      <c r="E375" s="136">
        <v>44826</v>
      </c>
      <c r="F375" s="137">
        <v>59073.84</v>
      </c>
      <c r="G375" s="139">
        <f t="shared" si="11"/>
        <v>-0.72314296114522947</v>
      </c>
    </row>
    <row r="376" spans="1:7" ht="16.2" thickBot="1" x14ac:dyDescent="0.35">
      <c r="A376" s="134">
        <v>44827</v>
      </c>
      <c r="B376" s="135">
        <v>3642.6</v>
      </c>
      <c r="C376" s="139">
        <f t="shared" si="10"/>
        <v>1.7457612915840339</v>
      </c>
      <c r="E376" s="136">
        <v>44827</v>
      </c>
      <c r="F376" s="137">
        <v>59005.18</v>
      </c>
      <c r="G376" s="139">
        <f t="shared" si="11"/>
        <v>-0.11622741978513031</v>
      </c>
    </row>
    <row r="377" spans="1:7" ht="16.2" thickBot="1" x14ac:dyDescent="0.35">
      <c r="A377" s="134">
        <v>44830</v>
      </c>
      <c r="B377" s="135">
        <v>3670</v>
      </c>
      <c r="C377" s="139">
        <f t="shared" si="10"/>
        <v>0.75220995991874184</v>
      </c>
      <c r="E377" s="136">
        <v>44830</v>
      </c>
      <c r="F377" s="137">
        <v>57525.03</v>
      </c>
      <c r="G377" s="139">
        <f t="shared" si="11"/>
        <v>-2.5085085750098575</v>
      </c>
    </row>
    <row r="378" spans="1:7" ht="16.2" thickBot="1" x14ac:dyDescent="0.35">
      <c r="A378" s="134">
        <v>44831</v>
      </c>
      <c r="B378" s="135">
        <v>3680.2</v>
      </c>
      <c r="C378" s="139">
        <f t="shared" si="10"/>
        <v>0.27792915531334655</v>
      </c>
      <c r="E378" s="136">
        <v>44831</v>
      </c>
      <c r="F378" s="137">
        <v>57376.52</v>
      </c>
      <c r="G378" s="139">
        <f t="shared" si="11"/>
        <v>-0.25816588013948372</v>
      </c>
    </row>
    <row r="379" spans="1:7" ht="16.2" thickBot="1" x14ac:dyDescent="0.35">
      <c r="A379" s="134">
        <v>44832</v>
      </c>
      <c r="B379" s="135">
        <v>3703.35</v>
      </c>
      <c r="C379" s="139">
        <f t="shared" si="10"/>
        <v>0.6290418998967473</v>
      </c>
      <c r="E379" s="136">
        <v>44832</v>
      </c>
      <c r="F379" s="137">
        <v>56710.13</v>
      </c>
      <c r="G379" s="139">
        <f t="shared" si="11"/>
        <v>-1.1614332831618219</v>
      </c>
    </row>
    <row r="380" spans="1:7" ht="16.2" thickBot="1" x14ac:dyDescent="0.35">
      <c r="A380" s="134">
        <v>44833</v>
      </c>
      <c r="B380" s="135">
        <v>3693.65</v>
      </c>
      <c r="C380" s="139">
        <f t="shared" si="10"/>
        <v>-0.26192501383881667</v>
      </c>
      <c r="E380" s="136">
        <v>44833</v>
      </c>
      <c r="F380" s="137">
        <v>56997.9</v>
      </c>
      <c r="G380" s="139">
        <f t="shared" si="11"/>
        <v>0.50744020512738042</v>
      </c>
    </row>
    <row r="381" spans="1:7" ht="16.2" thickBot="1" x14ac:dyDescent="0.35">
      <c r="A381" s="134">
        <v>44834</v>
      </c>
      <c r="B381" s="135">
        <v>3705.2</v>
      </c>
      <c r="C381" s="139">
        <f t="shared" si="10"/>
        <v>0.31269882094945994</v>
      </c>
      <c r="E381" s="136">
        <v>44834</v>
      </c>
      <c r="F381" s="137">
        <v>56240.15</v>
      </c>
      <c r="G381" s="139">
        <f t="shared" si="11"/>
        <v>-1.3294349440944315</v>
      </c>
    </row>
    <row r="382" spans="1:7" ht="16.2" thickBot="1" x14ac:dyDescent="0.35">
      <c r="A382" s="140">
        <v>44837</v>
      </c>
      <c r="B382" s="135">
        <v>3726.85</v>
      </c>
      <c r="C382" s="139">
        <f t="shared" si="10"/>
        <v>0.58431393716938607</v>
      </c>
      <c r="E382" s="136">
        <v>44837</v>
      </c>
      <c r="F382" s="137">
        <v>57403.92</v>
      </c>
      <c r="G382" s="139">
        <f t="shared" si="11"/>
        <v>2.0692867995551163</v>
      </c>
    </row>
    <row r="383" spans="1:7" ht="16.2" thickBot="1" x14ac:dyDescent="0.35">
      <c r="A383" s="140">
        <v>44838</v>
      </c>
      <c r="B383" s="135">
        <v>3780.1</v>
      </c>
      <c r="C383" s="139">
        <f t="shared" si="10"/>
        <v>1.4288205857493594</v>
      </c>
      <c r="E383" s="136">
        <v>44838</v>
      </c>
      <c r="F383" s="137">
        <v>57506.65</v>
      </c>
      <c r="G383" s="139">
        <f t="shared" si="11"/>
        <v>0.17895990378357993</v>
      </c>
    </row>
    <row r="384" spans="1:7" ht="16.2" thickBot="1" x14ac:dyDescent="0.35">
      <c r="A384" s="140">
        <v>44840</v>
      </c>
      <c r="B384" s="135">
        <v>3733</v>
      </c>
      <c r="C384" s="139">
        <f t="shared" si="10"/>
        <v>-1.2459987831009738</v>
      </c>
      <c r="E384" s="136">
        <v>44840</v>
      </c>
      <c r="F384" s="137">
        <v>58314.05</v>
      </c>
      <c r="G384" s="139">
        <f t="shared" si="11"/>
        <v>1.4040115360571366</v>
      </c>
    </row>
    <row r="385" spans="1:7" ht="16.2" thickBot="1" x14ac:dyDescent="0.35">
      <c r="A385" s="140">
        <v>44841</v>
      </c>
      <c r="B385" s="135">
        <v>3735.75</v>
      </c>
      <c r="C385" s="139">
        <f t="shared" si="10"/>
        <v>7.3667291722475214E-2</v>
      </c>
      <c r="E385" s="136">
        <v>44841</v>
      </c>
      <c r="F385" s="137">
        <v>58092.56</v>
      </c>
      <c r="G385" s="139">
        <f t="shared" si="11"/>
        <v>-0.37982270139015423</v>
      </c>
    </row>
    <row r="386" spans="1:7" ht="16.2" thickBot="1" x14ac:dyDescent="0.35">
      <c r="A386" s="140">
        <v>44844</v>
      </c>
      <c r="B386" s="135">
        <v>3686.6</v>
      </c>
      <c r="C386" s="139">
        <f t="shared" si="10"/>
        <v>-1.3156661982199047</v>
      </c>
      <c r="E386" s="136">
        <v>44844</v>
      </c>
      <c r="F386" s="137">
        <v>57424.07</v>
      </c>
      <c r="G386" s="139">
        <f t="shared" si="11"/>
        <v>-1.1507325550810603</v>
      </c>
    </row>
    <row r="387" spans="1:7" ht="16.2" thickBot="1" x14ac:dyDescent="0.35">
      <c r="A387" s="140">
        <v>44845</v>
      </c>
      <c r="B387" s="135">
        <v>3502.2</v>
      </c>
      <c r="C387" s="139">
        <f t="shared" si="10"/>
        <v>-5.0018987685129952</v>
      </c>
      <c r="E387" s="136">
        <v>44845</v>
      </c>
      <c r="F387" s="137">
        <v>58004.25</v>
      </c>
      <c r="G387" s="139">
        <f t="shared" si="11"/>
        <v>1.0103428753830932</v>
      </c>
    </row>
    <row r="388" spans="1:7" ht="16.2" thickBot="1" x14ac:dyDescent="0.35">
      <c r="A388" s="140">
        <v>44846</v>
      </c>
      <c r="B388" s="135">
        <v>3527.8</v>
      </c>
      <c r="C388" s="139">
        <f t="shared" si="10"/>
        <v>0.73096910513392632</v>
      </c>
      <c r="E388" s="136">
        <v>44846</v>
      </c>
      <c r="F388" s="137">
        <v>57312.49</v>
      </c>
      <c r="G388" s="139">
        <f t="shared" si="11"/>
        <v>-1.1926022662132552</v>
      </c>
    </row>
    <row r="389" spans="1:7" ht="16.2" thickBot="1" x14ac:dyDescent="0.35">
      <c r="A389" s="134">
        <v>44847</v>
      </c>
      <c r="B389" s="135">
        <v>3523.85</v>
      </c>
      <c r="C389" s="139">
        <f t="shared" si="10"/>
        <v>-0.11196779862804787</v>
      </c>
      <c r="E389" s="136">
        <v>44847</v>
      </c>
      <c r="F389" s="137">
        <v>57512.74</v>
      </c>
      <c r="G389" s="139">
        <f t="shared" si="11"/>
        <v>0.34940027906656995</v>
      </c>
    </row>
    <row r="390" spans="1:7" ht="16.2" thickBot="1" x14ac:dyDescent="0.35">
      <c r="A390" s="134">
        <v>44848</v>
      </c>
      <c r="B390" s="135">
        <v>3572.8</v>
      </c>
      <c r="C390" s="139">
        <f t="shared" si="10"/>
        <v>1.3891056656781724</v>
      </c>
      <c r="E390" s="136">
        <v>44848</v>
      </c>
      <c r="F390" s="137">
        <v>58162.74</v>
      </c>
      <c r="G390" s="139">
        <f t="shared" si="11"/>
        <v>1.1301843730623859</v>
      </c>
    </row>
    <row r="391" spans="1:7" ht="16.2" thickBot="1" x14ac:dyDescent="0.35">
      <c r="A391" s="134">
        <v>44851</v>
      </c>
      <c r="B391" s="135">
        <v>3578.55</v>
      </c>
      <c r="C391" s="139">
        <f t="shared" si="10"/>
        <v>0.16093819973130316</v>
      </c>
      <c r="E391" s="136">
        <v>44851</v>
      </c>
      <c r="F391" s="137">
        <v>57752.5</v>
      </c>
      <c r="G391" s="139">
        <f t="shared" si="11"/>
        <v>-0.70533128253586053</v>
      </c>
    </row>
    <row r="392" spans="1:7" ht="16.2" thickBot="1" x14ac:dyDescent="0.35">
      <c r="A392" s="134">
        <v>44852</v>
      </c>
      <c r="B392" s="135">
        <v>3572.25</v>
      </c>
      <c r="C392" s="139">
        <f t="shared" ref="C392:C455" si="12">(B392-B391)/B391*100</f>
        <v>-0.17604895837700135</v>
      </c>
      <c r="E392" s="136">
        <v>44852</v>
      </c>
      <c r="F392" s="137">
        <v>58744.13</v>
      </c>
      <c r="G392" s="139">
        <f t="shared" ref="G392:G455" si="13">(F392-F391)/F391*100</f>
        <v>1.7170338946365913</v>
      </c>
    </row>
    <row r="393" spans="1:7" ht="16.2" thickBot="1" x14ac:dyDescent="0.35">
      <c r="A393" s="134">
        <v>44853</v>
      </c>
      <c r="B393" s="135">
        <v>3608.05</v>
      </c>
      <c r="C393" s="139">
        <f t="shared" si="12"/>
        <v>1.0021695010147718</v>
      </c>
      <c r="E393" s="136">
        <v>44853</v>
      </c>
      <c r="F393" s="137">
        <v>59196.959999999999</v>
      </c>
      <c r="G393" s="139">
        <f t="shared" si="13"/>
        <v>0.77085148762949041</v>
      </c>
    </row>
    <row r="394" spans="1:7" ht="16.2" thickBot="1" x14ac:dyDescent="0.35">
      <c r="A394" s="134">
        <v>44854</v>
      </c>
      <c r="B394" s="135">
        <v>3651.9</v>
      </c>
      <c r="C394" s="139">
        <f t="shared" si="12"/>
        <v>1.2153379249178893</v>
      </c>
      <c r="E394" s="136">
        <v>44854</v>
      </c>
      <c r="F394" s="137">
        <v>58824.480000000003</v>
      </c>
      <c r="G394" s="139">
        <f t="shared" si="13"/>
        <v>-0.62922150056353565</v>
      </c>
    </row>
    <row r="395" spans="1:7" ht="16.2" thickBot="1" x14ac:dyDescent="0.35">
      <c r="A395" s="134">
        <v>44855</v>
      </c>
      <c r="B395" s="135">
        <v>3571.4</v>
      </c>
      <c r="C395" s="139">
        <f t="shared" si="12"/>
        <v>-2.204331991566034</v>
      </c>
      <c r="E395" s="136">
        <v>44855</v>
      </c>
      <c r="F395" s="137">
        <v>59381.36</v>
      </c>
      <c r="G395" s="139">
        <f t="shared" si="13"/>
        <v>0.94668070163985707</v>
      </c>
    </row>
    <row r="396" spans="1:7" ht="16.2" thickBot="1" x14ac:dyDescent="0.35">
      <c r="A396" s="134">
        <v>44858</v>
      </c>
      <c r="B396" s="135">
        <v>3612.45</v>
      </c>
      <c r="C396" s="139">
        <f t="shared" si="12"/>
        <v>1.1494091952735546</v>
      </c>
      <c r="E396" s="136">
        <v>44858</v>
      </c>
      <c r="F396" s="137">
        <v>59804.02</v>
      </c>
      <c r="G396" s="139">
        <f t="shared" si="13"/>
        <v>0.71177217901374468</v>
      </c>
    </row>
    <row r="397" spans="1:7" ht="16.2" thickBot="1" x14ac:dyDescent="0.35">
      <c r="A397" s="134">
        <v>44859</v>
      </c>
      <c r="B397" s="135">
        <v>3597.15</v>
      </c>
      <c r="C397" s="139">
        <f t="shared" si="12"/>
        <v>-0.4235352738446132</v>
      </c>
      <c r="E397" s="136">
        <v>44859</v>
      </c>
      <c r="F397" s="137">
        <v>60002.96</v>
      </c>
      <c r="G397" s="139">
        <f t="shared" si="13"/>
        <v>0.33265322297732214</v>
      </c>
    </row>
    <row r="398" spans="1:7" ht="16.2" thickBot="1" x14ac:dyDescent="0.35">
      <c r="A398" s="134">
        <v>44861</v>
      </c>
      <c r="B398" s="135">
        <v>3621.05</v>
      </c>
      <c r="C398" s="139">
        <f t="shared" si="12"/>
        <v>0.66441488400539572</v>
      </c>
      <c r="E398" s="136">
        <v>44861</v>
      </c>
      <c r="F398" s="137">
        <v>59792.32</v>
      </c>
      <c r="G398" s="139">
        <f t="shared" si="13"/>
        <v>-0.35104934823215289</v>
      </c>
    </row>
    <row r="399" spans="1:7" ht="16.2" thickBot="1" x14ac:dyDescent="0.35">
      <c r="A399" s="134">
        <v>44862</v>
      </c>
      <c r="B399" s="135">
        <v>3547.5</v>
      </c>
      <c r="C399" s="139">
        <f t="shared" si="12"/>
        <v>-2.0311788017287853</v>
      </c>
      <c r="E399" s="136">
        <v>44862</v>
      </c>
      <c r="F399" s="137">
        <v>59746.8</v>
      </c>
      <c r="G399" s="139">
        <f t="shared" si="13"/>
        <v>-7.6130178591492681E-2</v>
      </c>
    </row>
    <row r="400" spans="1:7" ht="16.2" thickBot="1" x14ac:dyDescent="0.35">
      <c r="A400" s="134">
        <v>44865</v>
      </c>
      <c r="B400" s="135">
        <v>3608.9</v>
      </c>
      <c r="C400" s="139">
        <f t="shared" si="12"/>
        <v>1.7307963354475007</v>
      </c>
      <c r="E400" s="136">
        <v>44865</v>
      </c>
      <c r="F400" s="137">
        <v>60246.96</v>
      </c>
      <c r="G400" s="139">
        <f t="shared" si="13"/>
        <v>0.83713269999396811</v>
      </c>
    </row>
    <row r="401" spans="1:7" ht="16.2" thickBot="1" x14ac:dyDescent="0.35">
      <c r="A401" s="140">
        <v>44866</v>
      </c>
      <c r="B401" s="135">
        <v>3836.45</v>
      </c>
      <c r="C401" s="139">
        <f t="shared" si="12"/>
        <v>6.3052453656238665</v>
      </c>
      <c r="E401" s="136">
        <v>44866</v>
      </c>
      <c r="F401" s="137">
        <v>61065.58</v>
      </c>
      <c r="G401" s="139">
        <f t="shared" si="13"/>
        <v>1.3587739530758112</v>
      </c>
    </row>
    <row r="402" spans="1:7" ht="16.2" thickBot="1" x14ac:dyDescent="0.35">
      <c r="A402" s="140">
        <v>44867</v>
      </c>
      <c r="B402" s="135">
        <v>3781.45</v>
      </c>
      <c r="C402" s="139">
        <f t="shared" si="12"/>
        <v>-1.4336170157306887</v>
      </c>
      <c r="E402" s="136">
        <v>44867</v>
      </c>
      <c r="F402" s="137">
        <v>61156.89</v>
      </c>
      <c r="G402" s="139">
        <f t="shared" si="13"/>
        <v>0.14952776998105588</v>
      </c>
    </row>
    <row r="403" spans="1:7" ht="16.2" thickBot="1" x14ac:dyDescent="0.35">
      <c r="A403" s="140">
        <v>44868</v>
      </c>
      <c r="B403" s="135">
        <v>3781.45</v>
      </c>
      <c r="C403" s="139">
        <f t="shared" si="12"/>
        <v>0</v>
      </c>
      <c r="E403" s="136">
        <v>44868</v>
      </c>
      <c r="F403" s="137">
        <v>60511.57</v>
      </c>
      <c r="G403" s="139">
        <f t="shared" si="13"/>
        <v>-1.0551877310962015</v>
      </c>
    </row>
    <row r="404" spans="1:7" ht="16.2" thickBot="1" x14ac:dyDescent="0.35">
      <c r="A404" s="140">
        <v>44869</v>
      </c>
      <c r="B404" s="135">
        <v>3746.3</v>
      </c>
      <c r="C404" s="139">
        <f t="shared" si="12"/>
        <v>-0.92953761123377632</v>
      </c>
      <c r="E404" s="136">
        <v>44869</v>
      </c>
      <c r="F404" s="137">
        <v>60698.27</v>
      </c>
      <c r="G404" s="139">
        <f t="shared" si="13"/>
        <v>0.30853603699259019</v>
      </c>
    </row>
    <row r="405" spans="1:7" ht="16.2" thickBot="1" x14ac:dyDescent="0.35">
      <c r="A405" s="140">
        <v>44872</v>
      </c>
      <c r="B405" s="135">
        <v>3414.55</v>
      </c>
      <c r="C405" s="139">
        <f t="shared" si="12"/>
        <v>-8.8554039986119637</v>
      </c>
      <c r="E405" s="136">
        <v>44872</v>
      </c>
      <c r="F405" s="137">
        <v>61188.13</v>
      </c>
      <c r="G405" s="139">
        <f t="shared" si="13"/>
        <v>0.80704112324783006</v>
      </c>
    </row>
    <row r="406" spans="1:7" ht="16.2" thickBot="1" x14ac:dyDescent="0.35">
      <c r="A406" s="140">
        <v>44874</v>
      </c>
      <c r="B406" s="135">
        <v>3298.75</v>
      </c>
      <c r="C406" s="139">
        <f t="shared" si="12"/>
        <v>-3.3913692873145855</v>
      </c>
      <c r="E406" s="136">
        <v>44874</v>
      </c>
      <c r="F406" s="137">
        <v>61304.29</v>
      </c>
      <c r="G406" s="139">
        <f t="shared" si="13"/>
        <v>0.18984074198705453</v>
      </c>
    </row>
    <row r="407" spans="1:7" ht="16.2" thickBot="1" x14ac:dyDescent="0.35">
      <c r="A407" s="140">
        <v>44875</v>
      </c>
      <c r="B407" s="135">
        <v>3286.75</v>
      </c>
      <c r="C407" s="139">
        <f t="shared" si="12"/>
        <v>-0.36377415687760511</v>
      </c>
      <c r="E407" s="136">
        <v>44875</v>
      </c>
      <c r="F407" s="137">
        <v>60524.27</v>
      </c>
      <c r="G407" s="139">
        <f t="shared" si="13"/>
        <v>-1.2723742498281998</v>
      </c>
    </row>
    <row r="408" spans="1:7" ht="16.2" thickBot="1" x14ac:dyDescent="0.35">
      <c r="A408" s="140">
        <v>44876</v>
      </c>
      <c r="B408" s="135">
        <v>3271.4</v>
      </c>
      <c r="C408" s="139">
        <f t="shared" si="12"/>
        <v>-0.46702669810602904</v>
      </c>
      <c r="E408" s="136">
        <v>44876</v>
      </c>
      <c r="F408" s="137">
        <v>61311.02</v>
      </c>
      <c r="G408" s="139">
        <f t="shared" si="13"/>
        <v>1.2998917624285267</v>
      </c>
    </row>
    <row r="409" spans="1:7" ht="16.2" thickBot="1" x14ac:dyDescent="0.35">
      <c r="A409" s="134">
        <v>44879</v>
      </c>
      <c r="B409" s="135">
        <v>3275.7</v>
      </c>
      <c r="C409" s="139">
        <f t="shared" si="12"/>
        <v>0.13144219600170348</v>
      </c>
      <c r="E409" s="136">
        <v>44879</v>
      </c>
      <c r="F409" s="137">
        <v>61765.86</v>
      </c>
      <c r="G409" s="139">
        <f t="shared" si="13"/>
        <v>0.74185684726824608</v>
      </c>
    </row>
    <row r="410" spans="1:7" ht="16.2" thickBot="1" x14ac:dyDescent="0.35">
      <c r="A410" s="134">
        <v>44880</v>
      </c>
      <c r="B410" s="135">
        <v>3326.6</v>
      </c>
      <c r="C410" s="139">
        <f t="shared" si="12"/>
        <v>1.553866349177278</v>
      </c>
      <c r="E410" s="136">
        <v>44880</v>
      </c>
      <c r="F410" s="137">
        <v>61630.05</v>
      </c>
      <c r="G410" s="139">
        <f t="shared" si="13"/>
        <v>-0.21987874855138043</v>
      </c>
    </row>
    <row r="411" spans="1:7" ht="16.2" thickBot="1" x14ac:dyDescent="0.35">
      <c r="A411" s="134">
        <v>44881</v>
      </c>
      <c r="B411" s="135">
        <v>3289.8</v>
      </c>
      <c r="C411" s="139">
        <f t="shared" si="12"/>
        <v>-1.1062345938796287</v>
      </c>
      <c r="E411" s="136">
        <v>44881</v>
      </c>
      <c r="F411" s="137">
        <v>61708.63</v>
      </c>
      <c r="G411" s="139">
        <f t="shared" si="13"/>
        <v>0.12750273608409285</v>
      </c>
    </row>
    <row r="412" spans="1:7" ht="16.2" thickBot="1" x14ac:dyDescent="0.35">
      <c r="A412" s="134">
        <v>44882</v>
      </c>
      <c r="B412" s="135">
        <v>3290</v>
      </c>
      <c r="C412" s="139">
        <f t="shared" si="12"/>
        <v>6.0793969238196275E-3</v>
      </c>
      <c r="E412" s="136">
        <v>44882</v>
      </c>
      <c r="F412" s="137">
        <v>61812.36</v>
      </c>
      <c r="G412" s="139">
        <f t="shared" si="13"/>
        <v>0.16809642346622053</v>
      </c>
    </row>
    <row r="413" spans="1:7" ht="16.2" thickBot="1" x14ac:dyDescent="0.35">
      <c r="A413" s="134">
        <v>44883</v>
      </c>
      <c r="B413" s="135">
        <v>3287.35</v>
      </c>
      <c r="C413" s="139">
        <f t="shared" si="12"/>
        <v>-8.0547112462008838E-2</v>
      </c>
      <c r="E413" s="136">
        <v>44883</v>
      </c>
      <c r="F413" s="137">
        <v>61858.2</v>
      </c>
      <c r="G413" s="139">
        <f t="shared" si="13"/>
        <v>7.4159925296488446E-2</v>
      </c>
    </row>
    <row r="414" spans="1:7" ht="16.2" thickBot="1" x14ac:dyDescent="0.35">
      <c r="A414" s="134">
        <v>44886</v>
      </c>
      <c r="B414" s="135">
        <v>3265.95</v>
      </c>
      <c r="C414" s="139">
        <f t="shared" si="12"/>
        <v>-0.65098027286416382</v>
      </c>
      <c r="E414" s="136">
        <v>44886</v>
      </c>
      <c r="F414" s="137">
        <v>61456.33</v>
      </c>
      <c r="G414" s="139">
        <f t="shared" si="13"/>
        <v>-0.64966326210590575</v>
      </c>
    </row>
    <row r="415" spans="1:7" ht="16.2" thickBot="1" x14ac:dyDescent="0.35">
      <c r="A415" s="134">
        <v>44887</v>
      </c>
      <c r="B415" s="135">
        <v>3305.6</v>
      </c>
      <c r="C415" s="139">
        <f t="shared" si="12"/>
        <v>1.214041856121499</v>
      </c>
      <c r="E415" s="136">
        <v>44887</v>
      </c>
      <c r="F415" s="137">
        <v>61126.559999999998</v>
      </c>
      <c r="G415" s="139">
        <f t="shared" si="13"/>
        <v>-0.53659240634773353</v>
      </c>
    </row>
    <row r="416" spans="1:7" ht="16.2" thickBot="1" x14ac:dyDescent="0.35">
      <c r="A416" s="134">
        <v>44888</v>
      </c>
      <c r="B416" s="135">
        <v>3299.95</v>
      </c>
      <c r="C416" s="139">
        <f t="shared" si="12"/>
        <v>-0.17092207163601436</v>
      </c>
      <c r="E416" s="136">
        <v>44888</v>
      </c>
      <c r="F416" s="137">
        <v>61779.71</v>
      </c>
      <c r="G416" s="139">
        <f t="shared" si="13"/>
        <v>1.0685207870359488</v>
      </c>
    </row>
    <row r="417" spans="1:7" ht="16.2" thickBot="1" x14ac:dyDescent="0.35">
      <c r="A417" s="134">
        <v>44889</v>
      </c>
      <c r="B417" s="135">
        <v>3305.4</v>
      </c>
      <c r="C417" s="139">
        <f t="shared" si="12"/>
        <v>0.16515401748512168</v>
      </c>
      <c r="E417" s="136">
        <v>44889</v>
      </c>
      <c r="F417" s="137">
        <v>61656</v>
      </c>
      <c r="G417" s="139">
        <f t="shared" si="13"/>
        <v>-0.20024373698095885</v>
      </c>
    </row>
    <row r="418" spans="1:7" ht="16.2" thickBot="1" x14ac:dyDescent="0.35">
      <c r="A418" s="134">
        <v>44890</v>
      </c>
      <c r="B418" s="135">
        <v>3342.65</v>
      </c>
      <c r="C418" s="139">
        <f t="shared" si="12"/>
        <v>1.1269437889514127</v>
      </c>
      <c r="E418" s="136">
        <v>44890</v>
      </c>
      <c r="F418" s="137">
        <v>62327.88</v>
      </c>
      <c r="G418" s="139">
        <f t="shared" si="13"/>
        <v>1.0897236278707625</v>
      </c>
    </row>
    <row r="419" spans="1:7" ht="16.2" thickBot="1" x14ac:dyDescent="0.35">
      <c r="A419" s="134">
        <v>44893</v>
      </c>
      <c r="B419" s="135">
        <v>3375.55</v>
      </c>
      <c r="C419" s="139">
        <f t="shared" si="12"/>
        <v>0.98424902397798419</v>
      </c>
      <c r="E419" s="136">
        <v>44893</v>
      </c>
      <c r="F419" s="137">
        <v>62016.35</v>
      </c>
      <c r="G419" s="139">
        <f t="shared" si="13"/>
        <v>-0.49982447662265883</v>
      </c>
    </row>
    <row r="420" spans="1:7" ht="16.2" thickBot="1" x14ac:dyDescent="0.35">
      <c r="A420" s="134">
        <v>44894</v>
      </c>
      <c r="B420" s="135">
        <v>3372.7</v>
      </c>
      <c r="C420" s="139">
        <f t="shared" si="12"/>
        <v>-8.4430685369802361E-2</v>
      </c>
      <c r="E420" s="136">
        <v>44894</v>
      </c>
      <c r="F420" s="137">
        <v>62362.080000000002</v>
      </c>
      <c r="G420" s="139">
        <f t="shared" si="13"/>
        <v>0.55748201885471049</v>
      </c>
    </row>
    <row r="421" spans="1:7" ht="16.2" thickBot="1" x14ac:dyDescent="0.35">
      <c r="A421" s="134">
        <v>44895</v>
      </c>
      <c r="B421" s="135">
        <v>3404.7</v>
      </c>
      <c r="C421" s="139">
        <f t="shared" si="12"/>
        <v>0.94879473418922522</v>
      </c>
      <c r="E421" s="136">
        <v>44895</v>
      </c>
      <c r="F421" s="137">
        <v>62743.47</v>
      </c>
      <c r="G421" s="139">
        <f t="shared" si="13"/>
        <v>0.61157357163199078</v>
      </c>
    </row>
    <row r="422" spans="1:7" ht="16.2" thickBot="1" x14ac:dyDescent="0.35">
      <c r="A422" s="140">
        <v>44896</v>
      </c>
      <c r="B422" s="135">
        <v>3409.05</v>
      </c>
      <c r="C422" s="139">
        <f t="shared" si="12"/>
        <v>0.12776456075426218</v>
      </c>
      <c r="E422" s="136">
        <v>44896</v>
      </c>
      <c r="F422" s="137">
        <v>63357.99</v>
      </c>
      <c r="G422" s="139">
        <f t="shared" si="13"/>
        <v>0.97941666280171746</v>
      </c>
    </row>
    <row r="423" spans="1:7" ht="16.2" thickBot="1" x14ac:dyDescent="0.35">
      <c r="A423" s="140">
        <v>44897</v>
      </c>
      <c r="B423" s="135">
        <v>3381.25</v>
      </c>
      <c r="C423" s="139">
        <f t="shared" si="12"/>
        <v>-0.81547645238410049</v>
      </c>
      <c r="E423" s="136">
        <v>44897</v>
      </c>
      <c r="F423" s="137">
        <v>62978.58</v>
      </c>
      <c r="G423" s="139">
        <f t="shared" si="13"/>
        <v>-0.59883528502087302</v>
      </c>
    </row>
    <row r="424" spans="1:7" ht="16.2" thickBot="1" x14ac:dyDescent="0.35">
      <c r="A424" s="140">
        <v>44900</v>
      </c>
      <c r="B424" s="135">
        <v>3368.85</v>
      </c>
      <c r="C424" s="139">
        <f t="shared" si="12"/>
        <v>-0.36672828096118565</v>
      </c>
      <c r="E424" s="136">
        <v>44900</v>
      </c>
      <c r="F424" s="137">
        <v>62865.279999999999</v>
      </c>
      <c r="G424" s="139">
        <f t="shared" si="13"/>
        <v>-0.17990243666974218</v>
      </c>
    </row>
    <row r="425" spans="1:7" ht="16.2" thickBot="1" x14ac:dyDescent="0.35">
      <c r="A425" s="140">
        <v>44901</v>
      </c>
      <c r="B425" s="135">
        <v>3355.9</v>
      </c>
      <c r="C425" s="139">
        <f t="shared" si="12"/>
        <v>-0.38440417353102152</v>
      </c>
      <c r="E425" s="136">
        <v>44901</v>
      </c>
      <c r="F425" s="137">
        <v>62395.55</v>
      </c>
      <c r="G425" s="139">
        <f t="shared" si="13"/>
        <v>-0.74720099870707002</v>
      </c>
    </row>
    <row r="426" spans="1:7" ht="16.2" thickBot="1" x14ac:dyDescent="0.35">
      <c r="A426" s="140">
        <v>44902</v>
      </c>
      <c r="B426" s="135">
        <v>3338.25</v>
      </c>
      <c r="C426" s="139">
        <f t="shared" si="12"/>
        <v>-0.5259393903274856</v>
      </c>
      <c r="E426" s="136">
        <v>44902</v>
      </c>
      <c r="F426" s="137">
        <v>62615.519999999997</v>
      </c>
      <c r="G426" s="139">
        <f t="shared" si="13"/>
        <v>0.3525411667979429</v>
      </c>
    </row>
    <row r="427" spans="1:7" ht="16.2" thickBot="1" x14ac:dyDescent="0.35">
      <c r="A427" s="140">
        <v>44903</v>
      </c>
      <c r="B427" s="135">
        <v>3287.45</v>
      </c>
      <c r="C427" s="139">
        <f t="shared" si="12"/>
        <v>-1.5217554107691209</v>
      </c>
      <c r="E427" s="136">
        <v>44903</v>
      </c>
      <c r="F427" s="137">
        <v>62504.04</v>
      </c>
      <c r="G427" s="139">
        <f t="shared" si="13"/>
        <v>-0.178038927090274</v>
      </c>
    </row>
    <row r="428" spans="1:7" ht="16.2" thickBot="1" x14ac:dyDescent="0.35">
      <c r="A428" s="140">
        <v>44904</v>
      </c>
      <c r="B428" s="135">
        <v>3274.05</v>
      </c>
      <c r="C428" s="139">
        <f t="shared" si="12"/>
        <v>-0.40761076214085801</v>
      </c>
      <c r="E428" s="136">
        <v>44904</v>
      </c>
      <c r="F428" s="137">
        <v>62690.86</v>
      </c>
      <c r="G428" s="139">
        <f t="shared" si="13"/>
        <v>0.29889267957719168</v>
      </c>
    </row>
    <row r="429" spans="1:7" ht="16.2" thickBot="1" x14ac:dyDescent="0.35">
      <c r="A429" s="140">
        <v>44907</v>
      </c>
      <c r="B429" s="135">
        <v>3338.8</v>
      </c>
      <c r="C429" s="139">
        <f t="shared" si="12"/>
        <v>1.9776729127533175</v>
      </c>
      <c r="E429" s="136">
        <v>44907</v>
      </c>
      <c r="F429" s="137">
        <v>61770.559999999998</v>
      </c>
      <c r="G429" s="139">
        <f t="shared" si="13"/>
        <v>-1.4679970892088623</v>
      </c>
    </row>
    <row r="430" spans="1:7" ht="16.2" thickBot="1" x14ac:dyDescent="0.35">
      <c r="A430" s="134">
        <v>44908</v>
      </c>
      <c r="B430" s="135">
        <v>3355.55</v>
      </c>
      <c r="C430" s="139">
        <f t="shared" si="12"/>
        <v>0.50167724931112978</v>
      </c>
      <c r="E430" s="136">
        <v>44908</v>
      </c>
      <c r="F430" s="137">
        <v>62300.67</v>
      </c>
      <c r="G430" s="139">
        <f t="shared" si="13"/>
        <v>0.85819199307890448</v>
      </c>
    </row>
    <row r="431" spans="1:7" ht="16.2" thickBot="1" x14ac:dyDescent="0.35">
      <c r="A431" s="134">
        <v>44909</v>
      </c>
      <c r="B431" s="135">
        <v>3393.85</v>
      </c>
      <c r="C431" s="139">
        <f t="shared" si="12"/>
        <v>1.1413926181996907</v>
      </c>
      <c r="E431" s="136">
        <v>44909</v>
      </c>
      <c r="F431" s="137">
        <v>62685.94</v>
      </c>
      <c r="G431" s="139">
        <f t="shared" si="13"/>
        <v>0.61840426435221985</v>
      </c>
    </row>
    <row r="432" spans="1:7" ht="16.2" thickBot="1" x14ac:dyDescent="0.35">
      <c r="A432" s="134">
        <v>44910</v>
      </c>
      <c r="B432" s="135">
        <v>3365.45</v>
      </c>
      <c r="C432" s="139">
        <f t="shared" si="12"/>
        <v>-0.83680775520426931</v>
      </c>
      <c r="E432" s="136">
        <v>44910</v>
      </c>
      <c r="F432" s="137">
        <v>62530.07</v>
      </c>
      <c r="G432" s="139">
        <f t="shared" si="13"/>
        <v>-0.24865224961132054</v>
      </c>
    </row>
    <row r="433" spans="1:7" ht="16.2" thickBot="1" x14ac:dyDescent="0.35">
      <c r="A433" s="134">
        <v>44911</v>
      </c>
      <c r="B433" s="135">
        <v>3326.9</v>
      </c>
      <c r="C433" s="139">
        <f t="shared" si="12"/>
        <v>-1.1454634595670632</v>
      </c>
      <c r="E433" s="136">
        <v>44911</v>
      </c>
      <c r="F433" s="137">
        <v>61534.239999999998</v>
      </c>
      <c r="G433" s="139">
        <f t="shared" si="13"/>
        <v>-1.5925617866731985</v>
      </c>
    </row>
    <row r="434" spans="1:7" ht="16.2" thickBot="1" x14ac:dyDescent="0.35">
      <c r="A434" s="134">
        <v>44914</v>
      </c>
      <c r="B434" s="135">
        <v>3345.85</v>
      </c>
      <c r="C434" s="139">
        <f t="shared" si="12"/>
        <v>0.56959932670052649</v>
      </c>
      <c r="E434" s="136">
        <v>44914</v>
      </c>
      <c r="F434" s="137">
        <v>61405.8</v>
      </c>
      <c r="G434" s="139">
        <f t="shared" si="13"/>
        <v>-0.2087293188312638</v>
      </c>
    </row>
    <row r="435" spans="1:7" ht="16.2" thickBot="1" x14ac:dyDescent="0.35">
      <c r="A435" s="134">
        <v>44915</v>
      </c>
      <c r="B435" s="135">
        <v>3351.55</v>
      </c>
      <c r="C435" s="139">
        <f t="shared" si="12"/>
        <v>0.17036029708445605</v>
      </c>
      <c r="E435" s="136">
        <v>44915</v>
      </c>
      <c r="F435" s="137">
        <v>61608.85</v>
      </c>
      <c r="G435" s="139">
        <f t="shared" si="13"/>
        <v>0.3306690898905244</v>
      </c>
    </row>
    <row r="436" spans="1:7" ht="16.2" thickBot="1" x14ac:dyDescent="0.35">
      <c r="A436" s="134">
        <v>44916</v>
      </c>
      <c r="B436" s="135">
        <v>3518.75</v>
      </c>
      <c r="C436" s="139">
        <f t="shared" si="12"/>
        <v>4.988736554728403</v>
      </c>
      <c r="E436" s="136">
        <v>44916</v>
      </c>
      <c r="F436" s="137">
        <v>61993.71</v>
      </c>
      <c r="G436" s="139">
        <f t="shared" si="13"/>
        <v>0.62468297979916942</v>
      </c>
    </row>
    <row r="437" spans="1:7" ht="16.2" thickBot="1" x14ac:dyDescent="0.35">
      <c r="A437" s="134">
        <v>44917</v>
      </c>
      <c r="B437" s="135">
        <v>3495.9</v>
      </c>
      <c r="C437" s="139">
        <f t="shared" si="12"/>
        <v>-0.64937833037299919</v>
      </c>
      <c r="E437" s="136">
        <v>44917</v>
      </c>
      <c r="F437" s="137">
        <v>61257.17</v>
      </c>
      <c r="G437" s="139">
        <f t="shared" si="13"/>
        <v>-1.1880882754072968</v>
      </c>
    </row>
    <row r="438" spans="1:7" ht="16.2" thickBot="1" x14ac:dyDescent="0.35">
      <c r="A438" s="134">
        <v>44918</v>
      </c>
      <c r="B438" s="135">
        <v>3498.45</v>
      </c>
      <c r="C438" s="139">
        <f t="shared" si="12"/>
        <v>7.2942589891007381E-2</v>
      </c>
      <c r="E438" s="136">
        <v>44918</v>
      </c>
      <c r="F438" s="137">
        <v>60205.56</v>
      </c>
      <c r="G438" s="139">
        <f t="shared" si="13"/>
        <v>-1.7167133251503466</v>
      </c>
    </row>
    <row r="439" spans="1:7" ht="16.2" thickBot="1" x14ac:dyDescent="0.35">
      <c r="A439" s="134">
        <v>44921</v>
      </c>
      <c r="B439" s="135">
        <v>3428.8</v>
      </c>
      <c r="C439" s="139">
        <f t="shared" si="12"/>
        <v>-1.9908816761708654</v>
      </c>
      <c r="E439" s="136">
        <v>44921</v>
      </c>
      <c r="F439" s="137">
        <v>59755.08</v>
      </c>
      <c r="G439" s="139">
        <f t="shared" si="13"/>
        <v>-0.74823654160844266</v>
      </c>
    </row>
    <row r="440" spans="1:7" ht="16.2" thickBot="1" x14ac:dyDescent="0.35">
      <c r="A440" s="134">
        <v>44922</v>
      </c>
      <c r="B440" s="135">
        <v>3477.1</v>
      </c>
      <c r="C440" s="139">
        <f t="shared" si="12"/>
        <v>1.408656089594019</v>
      </c>
      <c r="E440" s="136">
        <v>44922</v>
      </c>
      <c r="F440" s="137">
        <v>60861.41</v>
      </c>
      <c r="G440" s="139">
        <f t="shared" si="13"/>
        <v>1.8514409151489744</v>
      </c>
    </row>
    <row r="441" spans="1:7" ht="16.2" thickBot="1" x14ac:dyDescent="0.35">
      <c r="A441" s="134">
        <v>44923</v>
      </c>
      <c r="B441" s="135">
        <v>3446.35</v>
      </c>
      <c r="C441" s="139">
        <f t="shared" si="12"/>
        <v>-0.88435765436714509</v>
      </c>
      <c r="E441" s="136">
        <v>44923</v>
      </c>
      <c r="F441" s="137">
        <v>60811.519999999997</v>
      </c>
      <c r="G441" s="139">
        <f t="shared" si="13"/>
        <v>-8.197312549940379E-2</v>
      </c>
    </row>
    <row r="442" spans="1:7" ht="16.2" thickBot="1" x14ac:dyDescent="0.35">
      <c r="A442" s="134">
        <v>44924</v>
      </c>
      <c r="B442" s="135">
        <v>3412.2</v>
      </c>
      <c r="C442" s="139">
        <f t="shared" si="12"/>
        <v>-0.99090341955982686</v>
      </c>
      <c r="E442" s="136">
        <v>44924</v>
      </c>
      <c r="F442" s="137">
        <v>60628.29</v>
      </c>
      <c r="G442" s="139">
        <f t="shared" si="13"/>
        <v>-0.30130804163420999</v>
      </c>
    </row>
    <row r="443" spans="1:7" ht="16.2" thickBot="1" x14ac:dyDescent="0.35">
      <c r="A443" s="134">
        <v>44925</v>
      </c>
      <c r="B443" s="135">
        <v>3413.2</v>
      </c>
      <c r="C443" s="139">
        <f t="shared" si="12"/>
        <v>2.9306605708926792E-2</v>
      </c>
      <c r="E443" s="136">
        <v>44925</v>
      </c>
      <c r="F443" s="137">
        <v>61329.16</v>
      </c>
      <c r="G443" s="139">
        <f t="shared" si="13"/>
        <v>1.1560114923247919</v>
      </c>
    </row>
    <row r="444" spans="1:7" ht="16.2" thickBot="1" x14ac:dyDescent="0.35">
      <c r="A444" s="140">
        <v>44928</v>
      </c>
      <c r="B444" s="135">
        <v>3372.65</v>
      </c>
      <c r="C444" s="139">
        <f t="shared" si="12"/>
        <v>-1.1880346888550255</v>
      </c>
      <c r="E444" s="136">
        <v>44928</v>
      </c>
      <c r="F444" s="137">
        <v>60871.24</v>
      </c>
      <c r="G444" s="139">
        <f t="shared" si="13"/>
        <v>-0.74665950096170486</v>
      </c>
    </row>
    <row r="445" spans="1:7" ht="16.2" thickBot="1" x14ac:dyDescent="0.35">
      <c r="A445" s="140">
        <v>44929</v>
      </c>
      <c r="B445" s="135">
        <v>3393</v>
      </c>
      <c r="C445" s="139">
        <f t="shared" si="12"/>
        <v>0.60338309637821619</v>
      </c>
      <c r="E445" s="136">
        <v>44929</v>
      </c>
      <c r="F445" s="137">
        <v>61074.879999999997</v>
      </c>
      <c r="G445" s="139">
        <f t="shared" si="13"/>
        <v>0.33454222388109628</v>
      </c>
    </row>
    <row r="446" spans="1:7" ht="16.2" thickBot="1" x14ac:dyDescent="0.35">
      <c r="A446" s="140">
        <v>44930</v>
      </c>
      <c r="B446" s="135">
        <v>3435.55</v>
      </c>
      <c r="C446" s="139">
        <f t="shared" si="12"/>
        <v>1.254052460949018</v>
      </c>
      <c r="E446" s="136">
        <v>44930</v>
      </c>
      <c r="F446" s="137">
        <v>61294.65</v>
      </c>
      <c r="G446" s="139">
        <f t="shared" si="13"/>
        <v>0.35983697389172781</v>
      </c>
    </row>
    <row r="447" spans="1:7" ht="16.2" thickBot="1" x14ac:dyDescent="0.35">
      <c r="A447" s="140">
        <v>44931</v>
      </c>
      <c r="B447" s="135">
        <v>3461.85</v>
      </c>
      <c r="C447" s="139">
        <f t="shared" si="12"/>
        <v>0.76552517064224723</v>
      </c>
      <c r="E447" s="136">
        <v>44931</v>
      </c>
      <c r="F447" s="137">
        <v>60847.5</v>
      </c>
      <c r="G447" s="139">
        <f t="shared" si="13"/>
        <v>-0.72950901913951949</v>
      </c>
    </row>
    <row r="448" spans="1:7" ht="16.2" thickBot="1" x14ac:dyDescent="0.35">
      <c r="A448" s="140">
        <v>44932</v>
      </c>
      <c r="B448" s="135">
        <v>3434.9</v>
      </c>
      <c r="C448" s="139">
        <f t="shared" si="12"/>
        <v>-0.7784854918612828</v>
      </c>
      <c r="E448" s="136">
        <v>44932</v>
      </c>
      <c r="F448" s="137">
        <v>60388.74</v>
      </c>
      <c r="G448" s="139">
        <f t="shared" si="13"/>
        <v>-0.75395044989523319</v>
      </c>
    </row>
    <row r="449" spans="1:7" ht="16.2" thickBot="1" x14ac:dyDescent="0.35">
      <c r="A449" s="140">
        <v>44935</v>
      </c>
      <c r="B449" s="135">
        <v>3459.5</v>
      </c>
      <c r="C449" s="139">
        <f t="shared" si="12"/>
        <v>0.71617805467407802</v>
      </c>
      <c r="E449" s="136">
        <v>44935</v>
      </c>
      <c r="F449" s="137">
        <v>60147.07</v>
      </c>
      <c r="G449" s="139">
        <f t="shared" si="13"/>
        <v>-0.40019049908972804</v>
      </c>
    </row>
    <row r="450" spans="1:7" ht="16.2" thickBot="1" x14ac:dyDescent="0.35">
      <c r="A450" s="140">
        <v>44936</v>
      </c>
      <c r="B450" s="135">
        <v>3501.85</v>
      </c>
      <c r="C450" s="139">
        <f t="shared" si="12"/>
        <v>1.2241653418123979</v>
      </c>
      <c r="E450" s="136">
        <v>44936</v>
      </c>
      <c r="F450" s="137">
        <v>60805.14</v>
      </c>
      <c r="G450" s="139">
        <f t="shared" si="13"/>
        <v>1.0941015081865164</v>
      </c>
    </row>
    <row r="451" spans="1:7" ht="16.2" thickBot="1" x14ac:dyDescent="0.35">
      <c r="A451" s="140">
        <v>44937</v>
      </c>
      <c r="B451" s="135">
        <v>3411.45</v>
      </c>
      <c r="C451" s="139">
        <f t="shared" si="12"/>
        <v>-2.5814926396047828</v>
      </c>
      <c r="E451" s="136">
        <v>44937</v>
      </c>
      <c r="F451" s="137">
        <v>60134.559999999998</v>
      </c>
      <c r="G451" s="139">
        <f t="shared" si="13"/>
        <v>-1.102834398539337</v>
      </c>
    </row>
    <row r="452" spans="1:7" ht="16.2" thickBot="1" x14ac:dyDescent="0.35">
      <c r="A452" s="140">
        <v>44938</v>
      </c>
      <c r="B452" s="135">
        <v>3305.3</v>
      </c>
      <c r="C452" s="139">
        <f t="shared" si="12"/>
        <v>-3.1115801198903585</v>
      </c>
      <c r="E452" s="136">
        <v>44938</v>
      </c>
      <c r="F452" s="137">
        <v>60083.03</v>
      </c>
      <c r="G452" s="139">
        <f t="shared" si="13"/>
        <v>-8.5691156632723073E-2</v>
      </c>
    </row>
    <row r="453" spans="1:7" ht="16.2" thickBot="1" x14ac:dyDescent="0.35">
      <c r="A453" s="134">
        <v>44939</v>
      </c>
      <c r="B453" s="135">
        <v>3351.7</v>
      </c>
      <c r="C453" s="139">
        <f t="shared" si="12"/>
        <v>1.403806008531741</v>
      </c>
      <c r="E453" s="136">
        <v>44939</v>
      </c>
      <c r="F453" s="137">
        <v>60044.959999999999</v>
      </c>
      <c r="G453" s="139">
        <f t="shared" si="13"/>
        <v>-6.3362317113500613E-2</v>
      </c>
    </row>
    <row r="454" spans="1:7" ht="16.2" thickBot="1" x14ac:dyDescent="0.35">
      <c r="A454" s="134">
        <v>44942</v>
      </c>
      <c r="B454" s="135">
        <v>3333.2</v>
      </c>
      <c r="C454" s="139">
        <f t="shared" si="12"/>
        <v>-0.55195870752155618</v>
      </c>
      <c r="E454" s="136">
        <v>44942</v>
      </c>
      <c r="F454" s="137">
        <v>60550.5</v>
      </c>
      <c r="G454" s="139">
        <f t="shared" si="13"/>
        <v>0.84193577612509174</v>
      </c>
    </row>
    <row r="455" spans="1:7" ht="16.2" thickBot="1" x14ac:dyDescent="0.35">
      <c r="A455" s="134">
        <v>44943</v>
      </c>
      <c r="B455" s="135">
        <v>3347.4</v>
      </c>
      <c r="C455" s="139">
        <f t="shared" si="12"/>
        <v>0.42601704068163548</v>
      </c>
      <c r="E455" s="136">
        <v>44943</v>
      </c>
      <c r="F455" s="137">
        <v>60142.080000000002</v>
      </c>
      <c r="G455" s="139">
        <f t="shared" si="13"/>
        <v>-0.67451135828770736</v>
      </c>
    </row>
    <row r="456" spans="1:7" ht="16.2" thickBot="1" x14ac:dyDescent="0.35">
      <c r="A456" s="134">
        <v>44944</v>
      </c>
      <c r="B456" s="135">
        <v>3388.5</v>
      </c>
      <c r="C456" s="139">
        <f t="shared" ref="C456:C519" si="14">(B456-B455)/B455*100</f>
        <v>1.2278186054848512</v>
      </c>
      <c r="E456" s="136">
        <v>44944</v>
      </c>
      <c r="F456" s="137">
        <v>60716.03</v>
      </c>
      <c r="G456" s="139">
        <f t="shared" ref="G456:G519" si="15">(F456-F455)/F455*100</f>
        <v>0.95432349529646654</v>
      </c>
    </row>
    <row r="457" spans="1:7" ht="16.2" thickBot="1" x14ac:dyDescent="0.35">
      <c r="A457" s="134">
        <v>44945</v>
      </c>
      <c r="B457" s="135">
        <v>3382</v>
      </c>
      <c r="C457" s="139">
        <f t="shared" si="14"/>
        <v>-0.19182529142688506</v>
      </c>
      <c r="E457" s="136">
        <v>44945</v>
      </c>
      <c r="F457" s="137">
        <v>60920.02</v>
      </c>
      <c r="G457" s="139">
        <f t="shared" si="15"/>
        <v>0.33597387707990456</v>
      </c>
    </row>
    <row r="458" spans="1:7" ht="16.2" thickBot="1" x14ac:dyDescent="0.35">
      <c r="A458" s="134">
        <v>44946</v>
      </c>
      <c r="B458" s="135">
        <v>3343.15</v>
      </c>
      <c r="C458" s="139">
        <f t="shared" si="14"/>
        <v>-1.1487285629804822</v>
      </c>
      <c r="E458" s="136">
        <v>44946</v>
      </c>
      <c r="F458" s="137">
        <v>60901.16</v>
      </c>
      <c r="G458" s="139">
        <f t="shared" si="15"/>
        <v>-3.0958624110749317E-2</v>
      </c>
    </row>
    <row r="459" spans="1:7" ht="16.2" thickBot="1" x14ac:dyDescent="0.35">
      <c r="A459" s="134">
        <v>44949</v>
      </c>
      <c r="B459" s="135">
        <v>3385.7</v>
      </c>
      <c r="C459" s="139">
        <f t="shared" si="14"/>
        <v>1.2727517461077045</v>
      </c>
      <c r="E459" s="136">
        <v>44949</v>
      </c>
      <c r="F459" s="137">
        <v>60876.01</v>
      </c>
      <c r="G459" s="139">
        <f t="shared" si="15"/>
        <v>-4.1296421940077092E-2</v>
      </c>
    </row>
    <row r="460" spans="1:7" ht="16.2" thickBot="1" x14ac:dyDescent="0.35">
      <c r="A460" s="134">
        <v>44950</v>
      </c>
      <c r="B460" s="135">
        <v>3356.05</v>
      </c>
      <c r="C460" s="139">
        <f t="shared" si="14"/>
        <v>-0.87574209173877304</v>
      </c>
      <c r="E460" s="136">
        <v>44950</v>
      </c>
      <c r="F460" s="137">
        <v>61122.2</v>
      </c>
      <c r="G460" s="139">
        <f t="shared" si="15"/>
        <v>0.40441218141595525</v>
      </c>
    </row>
    <row r="461" spans="1:7" ht="16.2" thickBot="1" x14ac:dyDescent="0.35">
      <c r="A461" s="134">
        <v>44951</v>
      </c>
      <c r="B461" s="135">
        <v>3335.7</v>
      </c>
      <c r="C461" s="139">
        <f t="shared" si="14"/>
        <v>-0.60636760477347962</v>
      </c>
      <c r="E461" s="136">
        <v>44951</v>
      </c>
      <c r="F461" s="137">
        <v>60834.73</v>
      </c>
      <c r="G461" s="139">
        <f t="shared" si="15"/>
        <v>-0.47032011282315417</v>
      </c>
    </row>
    <row r="462" spans="1:7" ht="16.2" thickBot="1" x14ac:dyDescent="0.35">
      <c r="A462" s="134">
        <v>44953</v>
      </c>
      <c r="B462" s="135">
        <v>3387.45</v>
      </c>
      <c r="C462" s="139">
        <f t="shared" si="14"/>
        <v>1.5513985070599874</v>
      </c>
      <c r="E462" s="136">
        <v>44953</v>
      </c>
      <c r="F462" s="137">
        <v>60166.9</v>
      </c>
      <c r="G462" s="139">
        <f t="shared" si="15"/>
        <v>-1.0977775359568485</v>
      </c>
    </row>
    <row r="463" spans="1:7" ht="16.2" thickBot="1" x14ac:dyDescent="0.35">
      <c r="A463" s="134">
        <v>44956</v>
      </c>
      <c r="B463" s="135">
        <v>3366.4</v>
      </c>
      <c r="C463" s="139">
        <f t="shared" si="14"/>
        <v>-0.62141138614591296</v>
      </c>
      <c r="E463" s="136">
        <v>44956</v>
      </c>
      <c r="F463" s="137">
        <v>59101.69</v>
      </c>
      <c r="G463" s="139">
        <f t="shared" si="15"/>
        <v>-1.7704252670488245</v>
      </c>
    </row>
    <row r="464" spans="1:7" ht="16.2" thickBot="1" x14ac:dyDescent="0.35">
      <c r="A464" s="134">
        <v>44957</v>
      </c>
      <c r="B464" s="135">
        <v>3315.3</v>
      </c>
      <c r="C464" s="139">
        <f t="shared" si="14"/>
        <v>-1.5179420152091228</v>
      </c>
      <c r="E464" s="136">
        <v>44957</v>
      </c>
      <c r="F464" s="137">
        <v>59770.83</v>
      </c>
      <c r="G464" s="139">
        <f t="shared" si="15"/>
        <v>1.1321842065768328</v>
      </c>
    </row>
    <row r="465" spans="1:7" ht="16.2" thickBot="1" x14ac:dyDescent="0.35">
      <c r="A465" s="140">
        <v>44958</v>
      </c>
      <c r="B465" s="135">
        <v>3356.85</v>
      </c>
      <c r="C465" s="139">
        <f t="shared" si="14"/>
        <v>1.2532802461315635</v>
      </c>
      <c r="E465" s="136">
        <v>44958</v>
      </c>
      <c r="F465" s="137">
        <v>60001.17</v>
      </c>
      <c r="G465" s="139">
        <f t="shared" si="15"/>
        <v>0.38537192807929305</v>
      </c>
    </row>
    <row r="466" spans="1:7" ht="16.2" thickBot="1" x14ac:dyDescent="0.35">
      <c r="A466" s="140">
        <v>44959</v>
      </c>
      <c r="B466" s="135">
        <v>3267</v>
      </c>
      <c r="C466" s="139">
        <f t="shared" si="14"/>
        <v>-2.6766164707985136</v>
      </c>
      <c r="E466" s="136">
        <v>44959</v>
      </c>
      <c r="F466" s="137">
        <v>59459.87</v>
      </c>
      <c r="G466" s="139">
        <f t="shared" si="15"/>
        <v>-0.90214907475970152</v>
      </c>
    </row>
    <row r="467" spans="1:7" ht="16.2" thickBot="1" x14ac:dyDescent="0.35">
      <c r="A467" s="140">
        <v>44960</v>
      </c>
      <c r="B467" s="135">
        <v>2884.35</v>
      </c>
      <c r="C467" s="139">
        <f t="shared" si="14"/>
        <v>-11.712580348943987</v>
      </c>
      <c r="E467" s="136">
        <v>44960</v>
      </c>
      <c r="F467" s="137">
        <v>60350.01</v>
      </c>
      <c r="G467" s="139">
        <f t="shared" si="15"/>
        <v>1.4970432999601233</v>
      </c>
    </row>
    <row r="468" spans="1:7" ht="16.2" thickBot="1" x14ac:dyDescent="0.35">
      <c r="A468" s="140">
        <v>44963</v>
      </c>
      <c r="B468" s="135">
        <v>2778</v>
      </c>
      <c r="C468" s="139">
        <f t="shared" si="14"/>
        <v>-3.6871392168079433</v>
      </c>
      <c r="E468" s="136">
        <v>44963</v>
      </c>
      <c r="F468" s="137">
        <v>60847.21</v>
      </c>
      <c r="G468" s="139">
        <f t="shared" si="15"/>
        <v>0.82386067541661889</v>
      </c>
    </row>
    <row r="469" spans="1:7" ht="16.2" thickBot="1" x14ac:dyDescent="0.35">
      <c r="A469" s="140">
        <v>44964</v>
      </c>
      <c r="B469" s="135">
        <v>2750.85</v>
      </c>
      <c r="C469" s="139">
        <f t="shared" si="14"/>
        <v>-0.97732181425486297</v>
      </c>
      <c r="E469" s="136">
        <v>44964</v>
      </c>
      <c r="F469" s="137">
        <v>60511.32</v>
      </c>
      <c r="G469" s="139">
        <f t="shared" si="15"/>
        <v>-0.55202202368851327</v>
      </c>
    </row>
    <row r="470" spans="1:7" ht="16.2" thickBot="1" x14ac:dyDescent="0.35">
      <c r="A470" s="140">
        <v>44965</v>
      </c>
      <c r="B470" s="135">
        <v>2799.05</v>
      </c>
      <c r="C470" s="139">
        <f t="shared" si="14"/>
        <v>1.7521856880600639</v>
      </c>
      <c r="E470" s="136">
        <v>44965</v>
      </c>
      <c r="F470" s="137">
        <v>60332.99</v>
      </c>
      <c r="G470" s="139">
        <f t="shared" si="15"/>
        <v>-0.29470518904562276</v>
      </c>
    </row>
    <row r="471" spans="1:7" ht="16.2" thickBot="1" x14ac:dyDescent="0.35">
      <c r="A471" s="140">
        <v>44966</v>
      </c>
      <c r="B471" s="135">
        <v>2823.15</v>
      </c>
      <c r="C471" s="139">
        <f t="shared" si="14"/>
        <v>0.86100641289008439</v>
      </c>
      <c r="E471" s="136">
        <v>44966</v>
      </c>
      <c r="F471" s="137">
        <v>60715.89</v>
      </c>
      <c r="G471" s="139">
        <f t="shared" si="15"/>
        <v>0.63464449549077784</v>
      </c>
    </row>
    <row r="472" spans="1:7" ht="16.2" thickBot="1" x14ac:dyDescent="0.35">
      <c r="A472" s="140">
        <v>44967</v>
      </c>
      <c r="B472" s="135">
        <v>2811.25</v>
      </c>
      <c r="C472" s="139">
        <f t="shared" si="14"/>
        <v>-0.4215149744080226</v>
      </c>
      <c r="E472" s="136">
        <v>44967</v>
      </c>
      <c r="F472" s="137">
        <v>60706.81</v>
      </c>
      <c r="G472" s="139">
        <f t="shared" si="15"/>
        <v>-1.495489895643751E-2</v>
      </c>
    </row>
    <row r="473" spans="1:7" ht="16.2" thickBot="1" x14ac:dyDescent="0.35">
      <c r="A473" s="134">
        <v>44970</v>
      </c>
      <c r="B473" s="135">
        <v>2773.2</v>
      </c>
      <c r="C473" s="139">
        <f t="shared" si="14"/>
        <v>-1.3534904401956489</v>
      </c>
      <c r="E473" s="136">
        <v>44970</v>
      </c>
      <c r="F473" s="137">
        <v>60652.82</v>
      </c>
      <c r="G473" s="139">
        <f t="shared" si="15"/>
        <v>-8.8935656477416553E-2</v>
      </c>
    </row>
    <row r="474" spans="1:7" ht="16.2" thickBot="1" x14ac:dyDescent="0.35">
      <c r="A474" s="134">
        <v>44971</v>
      </c>
      <c r="B474" s="135">
        <v>2791.65</v>
      </c>
      <c r="C474" s="139">
        <f t="shared" si="14"/>
        <v>0.66529640848118687</v>
      </c>
      <c r="E474" s="136">
        <v>44971</v>
      </c>
      <c r="F474" s="137">
        <v>60550.25</v>
      </c>
      <c r="G474" s="139">
        <f t="shared" si="15"/>
        <v>-0.16911002654122217</v>
      </c>
    </row>
    <row r="475" spans="1:7" ht="16.2" thickBot="1" x14ac:dyDescent="0.35">
      <c r="A475" s="134">
        <v>44972</v>
      </c>
      <c r="B475" s="135">
        <v>2822.55</v>
      </c>
      <c r="C475" s="139">
        <f t="shared" si="14"/>
        <v>1.1068722798345096</v>
      </c>
      <c r="E475" s="136">
        <v>44972</v>
      </c>
      <c r="F475" s="137">
        <v>60990.05</v>
      </c>
      <c r="G475" s="139">
        <f t="shared" si="15"/>
        <v>0.72633886730443376</v>
      </c>
    </row>
    <row r="476" spans="1:7" ht="16.2" thickBot="1" x14ac:dyDescent="0.35">
      <c r="A476" s="134">
        <v>44973</v>
      </c>
      <c r="B476" s="135">
        <v>2876.6</v>
      </c>
      <c r="C476" s="139">
        <f t="shared" si="14"/>
        <v>1.9149350764379629</v>
      </c>
      <c r="E476" s="136">
        <v>44973</v>
      </c>
      <c r="F476" s="137">
        <v>61566.22</v>
      </c>
      <c r="G476" s="139">
        <f t="shared" si="15"/>
        <v>0.94469507731178815</v>
      </c>
    </row>
    <row r="477" spans="1:7" ht="16.2" thickBot="1" x14ac:dyDescent="0.35">
      <c r="A477" s="134">
        <v>44974</v>
      </c>
      <c r="B477" s="135">
        <v>2829.8</v>
      </c>
      <c r="C477" s="139">
        <f t="shared" si="14"/>
        <v>-1.6269206702356855</v>
      </c>
      <c r="E477" s="136">
        <v>44974</v>
      </c>
      <c r="F477" s="137">
        <v>60993.54</v>
      </c>
      <c r="G477" s="139">
        <f t="shared" si="15"/>
        <v>-0.93018541661320164</v>
      </c>
    </row>
    <row r="478" spans="1:7" ht="16.2" thickBot="1" x14ac:dyDescent="0.35">
      <c r="A478" s="134">
        <v>44977</v>
      </c>
      <c r="B478" s="135">
        <v>2900.6</v>
      </c>
      <c r="C478" s="139">
        <f t="shared" si="14"/>
        <v>2.5019436002544251</v>
      </c>
      <c r="E478" s="136">
        <v>44977</v>
      </c>
      <c r="F478" s="137">
        <v>61112.84</v>
      </c>
      <c r="G478" s="139">
        <f t="shared" si="15"/>
        <v>0.19559448426832685</v>
      </c>
    </row>
    <row r="479" spans="1:7" ht="16.2" thickBot="1" x14ac:dyDescent="0.35">
      <c r="A479" s="134">
        <v>44978</v>
      </c>
      <c r="B479" s="135">
        <v>2918.6</v>
      </c>
      <c r="C479" s="139">
        <f t="shared" si="14"/>
        <v>0.62056126318692684</v>
      </c>
      <c r="E479" s="136">
        <v>44978</v>
      </c>
      <c r="F479" s="137">
        <v>60770.43</v>
      </c>
      <c r="G479" s="139">
        <f t="shared" si="15"/>
        <v>-0.56029142157359446</v>
      </c>
    </row>
    <row r="480" spans="1:7" ht="16.2" thickBot="1" x14ac:dyDescent="0.35">
      <c r="A480" s="134">
        <v>44979</v>
      </c>
      <c r="B480" s="135">
        <v>2920.55</v>
      </c>
      <c r="C480" s="139">
        <f t="shared" si="14"/>
        <v>6.6812855478663502E-2</v>
      </c>
      <c r="E480" s="136">
        <v>44979</v>
      </c>
      <c r="F480" s="137">
        <v>60391.86</v>
      </c>
      <c r="G480" s="139">
        <f t="shared" si="15"/>
        <v>-0.62295099771385476</v>
      </c>
    </row>
    <row r="481" spans="1:7" ht="16.2" thickBot="1" x14ac:dyDescent="0.35">
      <c r="A481" s="134">
        <v>44980</v>
      </c>
      <c r="B481" s="135">
        <v>2873.2</v>
      </c>
      <c r="C481" s="139">
        <f t="shared" si="14"/>
        <v>-1.6212699662734882</v>
      </c>
      <c r="E481" s="136">
        <v>44980</v>
      </c>
      <c r="F481" s="137">
        <v>59777.64</v>
      </c>
      <c r="G481" s="139">
        <f t="shared" si="15"/>
        <v>-1.0170575968350719</v>
      </c>
    </row>
    <row r="482" spans="1:7" ht="16.2" thickBot="1" x14ac:dyDescent="0.35">
      <c r="A482" s="134">
        <v>44981</v>
      </c>
      <c r="B482" s="135">
        <v>2915.2</v>
      </c>
      <c r="C482" s="139">
        <f t="shared" si="14"/>
        <v>1.4617847695948769</v>
      </c>
      <c r="E482" s="136">
        <v>44981</v>
      </c>
      <c r="F482" s="137">
        <v>59859.48</v>
      </c>
      <c r="G482" s="139">
        <f t="shared" si="15"/>
        <v>0.13690737874563763</v>
      </c>
    </row>
    <row r="483" spans="1:7" ht="16.2" thickBot="1" x14ac:dyDescent="0.35">
      <c r="A483" s="134">
        <v>44984</v>
      </c>
      <c r="B483" s="135">
        <v>2858.5</v>
      </c>
      <c r="C483" s="139">
        <f t="shared" si="14"/>
        <v>-1.9449780461031771</v>
      </c>
      <c r="E483" s="136">
        <v>44984</v>
      </c>
      <c r="F483" s="137">
        <v>59331.31</v>
      </c>
      <c r="G483" s="139">
        <f t="shared" si="15"/>
        <v>-0.88234979655687873</v>
      </c>
    </row>
    <row r="484" spans="1:7" ht="16.2" thickBot="1" x14ac:dyDescent="0.35">
      <c r="A484" s="134">
        <v>44985</v>
      </c>
      <c r="B484" s="135">
        <v>2825.6</v>
      </c>
      <c r="C484" s="139">
        <f t="shared" si="14"/>
        <v>-1.1509532971838408</v>
      </c>
      <c r="E484" s="136">
        <v>44985</v>
      </c>
      <c r="F484" s="137">
        <v>59346.61</v>
      </c>
      <c r="G484" s="139">
        <f t="shared" si="15"/>
        <v>2.5787396233123643E-2</v>
      </c>
    </row>
    <row r="485" spans="1:7" ht="16.2" thickBot="1" x14ac:dyDescent="0.35">
      <c r="A485" s="140">
        <v>44986</v>
      </c>
      <c r="B485" s="135">
        <v>2845.3</v>
      </c>
      <c r="C485" s="139">
        <f t="shared" si="14"/>
        <v>0.69719705549264843</v>
      </c>
      <c r="E485" s="136">
        <v>44986</v>
      </c>
      <c r="F485" s="137">
        <v>59136.480000000003</v>
      </c>
      <c r="G485" s="139">
        <f t="shared" si="15"/>
        <v>-0.35407245670813781</v>
      </c>
    </row>
    <row r="486" spans="1:7" ht="16.2" thickBot="1" x14ac:dyDescent="0.35">
      <c r="A486" s="140">
        <v>44987</v>
      </c>
      <c r="B486" s="135">
        <v>2861.15</v>
      </c>
      <c r="C486" s="139">
        <f t="shared" si="14"/>
        <v>0.55705900959476706</v>
      </c>
      <c r="E486" s="136">
        <v>44987</v>
      </c>
      <c r="F486" s="137">
        <v>59287.18</v>
      </c>
      <c r="G486" s="139">
        <f t="shared" si="15"/>
        <v>0.25483424106405572</v>
      </c>
    </row>
    <row r="487" spans="1:7" ht="16.2" thickBot="1" x14ac:dyDescent="0.35">
      <c r="A487" s="140">
        <v>44988</v>
      </c>
      <c r="B487" s="135">
        <v>2850.4</v>
      </c>
      <c r="C487" s="139">
        <f t="shared" si="14"/>
        <v>-0.37572304842458448</v>
      </c>
      <c r="E487" s="136">
        <v>44988</v>
      </c>
      <c r="F487" s="137">
        <v>59241.2</v>
      </c>
      <c r="G487" s="139">
        <f t="shared" si="15"/>
        <v>-7.755470912936524E-2</v>
      </c>
    </row>
    <row r="488" spans="1:7" ht="16.2" thickBot="1" x14ac:dyDescent="0.35">
      <c r="A488" s="140">
        <v>44991</v>
      </c>
      <c r="B488" s="135">
        <v>2846.8</v>
      </c>
      <c r="C488" s="139">
        <f t="shared" si="14"/>
        <v>-0.12629806342969088</v>
      </c>
      <c r="E488" s="136">
        <v>44991</v>
      </c>
      <c r="F488" s="137">
        <v>60007.040000000001</v>
      </c>
      <c r="G488" s="139">
        <f t="shared" si="15"/>
        <v>1.2927489652471655</v>
      </c>
    </row>
    <row r="489" spans="1:7" ht="16.2" thickBot="1" x14ac:dyDescent="0.35">
      <c r="A489" s="140">
        <v>44993</v>
      </c>
      <c r="B489" s="135">
        <v>2834.5</v>
      </c>
      <c r="C489" s="139">
        <f t="shared" si="14"/>
        <v>-0.43206407194043067</v>
      </c>
      <c r="E489" s="136">
        <v>44993</v>
      </c>
      <c r="F489" s="137">
        <v>59916.1</v>
      </c>
      <c r="G489" s="139">
        <f t="shared" si="15"/>
        <v>-0.15154888493083865</v>
      </c>
    </row>
    <row r="490" spans="1:7" ht="16.2" thickBot="1" x14ac:dyDescent="0.35">
      <c r="A490" s="140">
        <v>44994</v>
      </c>
      <c r="B490" s="135">
        <v>2810.2</v>
      </c>
      <c r="C490" s="139">
        <f t="shared" si="14"/>
        <v>-0.85729405538896386</v>
      </c>
      <c r="E490" s="136">
        <v>44994</v>
      </c>
      <c r="F490" s="137">
        <v>60467.09</v>
      </c>
      <c r="G490" s="139">
        <f t="shared" si="15"/>
        <v>0.91960257760434672</v>
      </c>
    </row>
    <row r="491" spans="1:7" ht="16.2" thickBot="1" x14ac:dyDescent="0.35">
      <c r="A491" s="140">
        <v>44995</v>
      </c>
      <c r="B491" s="135">
        <v>2787.5</v>
      </c>
      <c r="C491" s="139">
        <f t="shared" si="14"/>
        <v>-0.8077716888477624</v>
      </c>
      <c r="E491" s="136">
        <v>44995</v>
      </c>
      <c r="F491" s="137">
        <v>59259.83</v>
      </c>
      <c r="G491" s="139">
        <f t="shared" si="15"/>
        <v>-1.9965571354599581</v>
      </c>
    </row>
    <row r="492" spans="1:7" ht="16.2" thickBot="1" x14ac:dyDescent="0.35">
      <c r="A492" s="134">
        <v>44998</v>
      </c>
      <c r="B492" s="135">
        <v>2767</v>
      </c>
      <c r="C492" s="139">
        <f t="shared" si="14"/>
        <v>-0.73542600896860988</v>
      </c>
      <c r="E492" s="136">
        <v>44998</v>
      </c>
      <c r="F492" s="137">
        <v>59033.77</v>
      </c>
      <c r="G492" s="139">
        <f t="shared" si="15"/>
        <v>-0.3814725759422613</v>
      </c>
    </row>
    <row r="493" spans="1:7" ht="16.2" thickBot="1" x14ac:dyDescent="0.35">
      <c r="A493" s="134">
        <v>44999</v>
      </c>
      <c r="B493" s="135">
        <v>2757.05</v>
      </c>
      <c r="C493" s="139">
        <f t="shared" si="14"/>
        <v>-0.35959522949041628</v>
      </c>
      <c r="E493" s="136">
        <v>44999</v>
      </c>
      <c r="F493" s="137">
        <v>58168.75</v>
      </c>
      <c r="G493" s="139">
        <f t="shared" si="15"/>
        <v>-1.4652968970133482</v>
      </c>
    </row>
    <row r="494" spans="1:7" ht="16.2" thickBot="1" x14ac:dyDescent="0.35">
      <c r="A494" s="134">
        <v>45000</v>
      </c>
      <c r="B494" s="135">
        <v>2775.8</v>
      </c>
      <c r="C494" s="139">
        <f t="shared" si="14"/>
        <v>0.68007471754230064</v>
      </c>
      <c r="E494" s="136">
        <v>45000</v>
      </c>
      <c r="F494" s="137">
        <v>58268.54</v>
      </c>
      <c r="G494" s="139">
        <f t="shared" si="15"/>
        <v>0.17155259482110391</v>
      </c>
    </row>
    <row r="495" spans="1:7" ht="16.2" thickBot="1" x14ac:dyDescent="0.35">
      <c r="A495" s="134">
        <v>45001</v>
      </c>
      <c r="B495" s="135">
        <v>2801.6</v>
      </c>
      <c r="C495" s="139">
        <f t="shared" si="14"/>
        <v>0.92946177678506114</v>
      </c>
      <c r="E495" s="136">
        <v>45001</v>
      </c>
      <c r="F495" s="137">
        <v>57510.8</v>
      </c>
      <c r="G495" s="139">
        <f t="shared" si="15"/>
        <v>-1.3004272974747573</v>
      </c>
    </row>
    <row r="496" spans="1:7" ht="16.2" thickBot="1" x14ac:dyDescent="0.35">
      <c r="A496" s="134">
        <v>45002</v>
      </c>
      <c r="B496" s="135">
        <v>2791.5</v>
      </c>
      <c r="C496" s="139">
        <f t="shared" si="14"/>
        <v>-0.36050828098229259</v>
      </c>
      <c r="E496" s="136">
        <v>45002</v>
      </c>
      <c r="F496" s="137">
        <v>58038.17</v>
      </c>
      <c r="G496" s="139">
        <f t="shared" si="15"/>
        <v>0.91699298218768532</v>
      </c>
    </row>
    <row r="497" spans="1:7" ht="16.2" thickBot="1" x14ac:dyDescent="0.35">
      <c r="A497" s="134">
        <v>45005</v>
      </c>
      <c r="B497" s="135">
        <v>2800.2</v>
      </c>
      <c r="C497" s="139">
        <f t="shared" si="14"/>
        <v>0.31166039763567321</v>
      </c>
      <c r="E497" s="136">
        <v>45005</v>
      </c>
      <c r="F497" s="137">
        <v>57773.55</v>
      </c>
      <c r="G497" s="139">
        <f t="shared" si="15"/>
        <v>-0.4559413227536212</v>
      </c>
    </row>
    <row r="498" spans="1:7" ht="16.2" thickBot="1" x14ac:dyDescent="0.35">
      <c r="A498" s="134">
        <v>45006</v>
      </c>
      <c r="B498" s="135">
        <v>2767.9</v>
      </c>
      <c r="C498" s="139">
        <f t="shared" si="14"/>
        <v>-1.1534890364973833</v>
      </c>
      <c r="E498" s="136">
        <v>45006</v>
      </c>
      <c r="F498" s="137">
        <v>57963.27</v>
      </c>
      <c r="G498" s="139">
        <f t="shared" si="15"/>
        <v>0.32838556744391484</v>
      </c>
    </row>
    <row r="499" spans="1:7" ht="16.2" thickBot="1" x14ac:dyDescent="0.35">
      <c r="A499" s="134">
        <v>45007</v>
      </c>
      <c r="B499" s="135">
        <v>2790.65</v>
      </c>
      <c r="C499" s="139">
        <f t="shared" si="14"/>
        <v>0.82192275732504794</v>
      </c>
      <c r="E499" s="136">
        <v>45007</v>
      </c>
      <c r="F499" s="137">
        <v>58245.26</v>
      </c>
      <c r="G499" s="139">
        <f t="shared" si="15"/>
        <v>0.48649774244966726</v>
      </c>
    </row>
    <row r="500" spans="1:7" ht="16.2" thickBot="1" x14ac:dyDescent="0.35">
      <c r="A500" s="134">
        <v>45008</v>
      </c>
      <c r="B500" s="135">
        <v>2803.1</v>
      </c>
      <c r="C500" s="139">
        <f t="shared" si="14"/>
        <v>0.44613262143227628</v>
      </c>
      <c r="E500" s="136">
        <v>45008</v>
      </c>
      <c r="F500" s="137">
        <v>58061.41</v>
      </c>
      <c r="G500" s="139">
        <f t="shared" si="15"/>
        <v>-0.31564800294478651</v>
      </c>
    </row>
    <row r="501" spans="1:7" ht="16.2" thickBot="1" x14ac:dyDescent="0.35">
      <c r="A501" s="134">
        <v>45009</v>
      </c>
      <c r="B501" s="135">
        <v>2807</v>
      </c>
      <c r="C501" s="139">
        <f t="shared" si="14"/>
        <v>0.13913167564482504</v>
      </c>
      <c r="E501" s="136">
        <v>45009</v>
      </c>
      <c r="F501" s="137">
        <v>57890.66</v>
      </c>
      <c r="G501" s="139">
        <f t="shared" si="15"/>
        <v>-0.29408517636757353</v>
      </c>
    </row>
    <row r="502" spans="1:7" ht="16.2" thickBot="1" x14ac:dyDescent="0.35">
      <c r="A502" s="134">
        <v>45012</v>
      </c>
      <c r="B502" s="135">
        <v>2829.2</v>
      </c>
      <c r="C502" s="139">
        <f t="shared" si="14"/>
        <v>0.79087994299963726</v>
      </c>
      <c r="E502" s="136">
        <v>45012</v>
      </c>
      <c r="F502" s="137">
        <v>57566.9</v>
      </c>
      <c r="G502" s="139">
        <f t="shared" si="15"/>
        <v>-0.55926120033871096</v>
      </c>
    </row>
    <row r="503" spans="1:7" ht="16.2" thickBot="1" x14ac:dyDescent="0.35">
      <c r="A503" s="134">
        <v>45013</v>
      </c>
      <c r="B503" s="135">
        <v>2806.45</v>
      </c>
      <c r="C503" s="139">
        <f t="shared" si="14"/>
        <v>-0.80411423724020925</v>
      </c>
      <c r="E503" s="136">
        <v>45013</v>
      </c>
      <c r="F503" s="137">
        <v>57751.5</v>
      </c>
      <c r="G503" s="139">
        <f t="shared" si="15"/>
        <v>0.32067038523873709</v>
      </c>
    </row>
    <row r="504" spans="1:7" ht="16.2" thickBot="1" x14ac:dyDescent="0.35">
      <c r="A504" s="134">
        <v>45014</v>
      </c>
      <c r="B504" s="135">
        <v>2820.25</v>
      </c>
      <c r="C504" s="139">
        <f t="shared" si="14"/>
        <v>0.49172442053128268</v>
      </c>
      <c r="E504" s="136">
        <v>45014</v>
      </c>
      <c r="F504" s="137">
        <v>57572.08</v>
      </c>
      <c r="G504" s="139">
        <f t="shared" si="15"/>
        <v>-0.31067591317974119</v>
      </c>
    </row>
    <row r="505" spans="1:7" ht="16.2" thickBot="1" x14ac:dyDescent="0.35">
      <c r="A505" s="134">
        <v>45016</v>
      </c>
      <c r="B505" s="135">
        <v>2823.35</v>
      </c>
      <c r="C505" s="139">
        <f t="shared" si="14"/>
        <v>0.10991933339242653</v>
      </c>
      <c r="E505" s="136">
        <v>45016</v>
      </c>
      <c r="F505" s="137">
        <v>58273.86</v>
      </c>
      <c r="G505" s="139">
        <f t="shared" si="15"/>
        <v>1.2189589120281894</v>
      </c>
    </row>
    <row r="506" spans="1:7" ht="16.2" thickBot="1" x14ac:dyDescent="0.35">
      <c r="A506" s="140">
        <v>45019</v>
      </c>
      <c r="B506" s="135">
        <v>2874.7</v>
      </c>
      <c r="C506" s="139">
        <f t="shared" si="14"/>
        <v>1.8187614004639845</v>
      </c>
      <c r="E506" s="136">
        <v>45019</v>
      </c>
      <c r="F506" s="137">
        <v>59131.16</v>
      </c>
      <c r="G506" s="139">
        <f t="shared" si="15"/>
        <v>1.4711570505197407</v>
      </c>
    </row>
    <row r="507" spans="1:7" ht="16.2" thickBot="1" x14ac:dyDescent="0.35">
      <c r="A507" s="140">
        <v>45021</v>
      </c>
      <c r="B507" s="135">
        <v>2889.8</v>
      </c>
      <c r="C507" s="139">
        <f t="shared" si="14"/>
        <v>0.52527220231677618</v>
      </c>
      <c r="E507" s="136">
        <v>45021</v>
      </c>
      <c r="F507" s="137">
        <v>59094.71</v>
      </c>
      <c r="G507" s="139">
        <f t="shared" si="15"/>
        <v>-6.1642626324266876E-2</v>
      </c>
    </row>
    <row r="508" spans="1:7" ht="16.2" thickBot="1" x14ac:dyDescent="0.35">
      <c r="A508" s="140">
        <v>45022</v>
      </c>
      <c r="B508" s="135">
        <v>2921.45</v>
      </c>
      <c r="C508" s="139">
        <f t="shared" si="14"/>
        <v>1.0952315039102924</v>
      </c>
      <c r="E508" s="136">
        <v>45022</v>
      </c>
      <c r="F508" s="137">
        <v>59627.01</v>
      </c>
      <c r="G508" s="139">
        <f t="shared" si="15"/>
        <v>0.9007574451249577</v>
      </c>
    </row>
    <row r="509" spans="1:7" ht="16.2" thickBot="1" x14ac:dyDescent="0.35">
      <c r="A509" s="140">
        <v>45026</v>
      </c>
      <c r="B509" s="135">
        <v>2909.65</v>
      </c>
      <c r="C509" s="139">
        <f t="shared" si="14"/>
        <v>-0.40390901778225635</v>
      </c>
      <c r="E509" s="136">
        <v>45026</v>
      </c>
      <c r="F509" s="137">
        <v>59858.98</v>
      </c>
      <c r="G509" s="139">
        <f t="shared" si="15"/>
        <v>0.38903510338687308</v>
      </c>
    </row>
    <row r="510" spans="1:7" ht="16.2" thickBot="1" x14ac:dyDescent="0.35">
      <c r="A510" s="140">
        <v>45027</v>
      </c>
      <c r="B510" s="135">
        <v>2927.35</v>
      </c>
      <c r="C510" s="139">
        <f t="shared" si="14"/>
        <v>0.60832058838691305</v>
      </c>
      <c r="E510" s="136">
        <v>45027</v>
      </c>
      <c r="F510" s="137">
        <v>60028.6</v>
      </c>
      <c r="G510" s="139">
        <f t="shared" si="15"/>
        <v>0.28336600456605732</v>
      </c>
    </row>
    <row r="511" spans="1:7" ht="16.2" thickBot="1" x14ac:dyDescent="0.35">
      <c r="A511" s="140">
        <v>45028</v>
      </c>
      <c r="B511" s="135">
        <v>3212.1</v>
      </c>
      <c r="C511" s="139">
        <f t="shared" si="14"/>
        <v>9.7272276974055032</v>
      </c>
      <c r="E511" s="136">
        <v>45028</v>
      </c>
      <c r="F511" s="137">
        <v>60180.2</v>
      </c>
      <c r="G511" s="139">
        <f t="shared" si="15"/>
        <v>0.25254628627020875</v>
      </c>
    </row>
    <row r="512" spans="1:7" ht="16.2" thickBot="1" x14ac:dyDescent="0.35">
      <c r="A512" s="134">
        <v>45029</v>
      </c>
      <c r="B512" s="135">
        <v>3183.95</v>
      </c>
      <c r="C512" s="139">
        <f t="shared" si="14"/>
        <v>-0.87637371190187396</v>
      </c>
      <c r="E512" s="136">
        <v>45029</v>
      </c>
      <c r="F512" s="137">
        <v>60364.41</v>
      </c>
      <c r="G512" s="139">
        <f t="shared" si="15"/>
        <v>0.30609735427932511</v>
      </c>
    </row>
    <row r="513" spans="1:7" ht="16.2" thickBot="1" x14ac:dyDescent="0.35">
      <c r="A513" s="134">
        <v>45033</v>
      </c>
      <c r="B513" s="135">
        <v>3162.65</v>
      </c>
      <c r="C513" s="139">
        <f t="shared" si="14"/>
        <v>-0.66898035459098693</v>
      </c>
      <c r="E513" s="136">
        <v>45033</v>
      </c>
      <c r="F513" s="137">
        <v>60385.9</v>
      </c>
      <c r="G513" s="139">
        <f t="shared" si="15"/>
        <v>3.5600447349684955E-2</v>
      </c>
    </row>
    <row r="514" spans="1:7" ht="16.2" thickBot="1" x14ac:dyDescent="0.35">
      <c r="A514" s="134">
        <v>45034</v>
      </c>
      <c r="B514" s="135">
        <v>3270.6</v>
      </c>
      <c r="C514" s="139">
        <f t="shared" si="14"/>
        <v>3.413276840624154</v>
      </c>
      <c r="E514" s="136">
        <v>45034</v>
      </c>
      <c r="F514" s="137">
        <v>59991.26</v>
      </c>
      <c r="G514" s="139">
        <f t="shared" si="15"/>
        <v>-0.65353004592131514</v>
      </c>
    </row>
    <row r="515" spans="1:7" ht="16.2" thickBot="1" x14ac:dyDescent="0.35">
      <c r="A515" s="134">
        <v>45035</v>
      </c>
      <c r="B515" s="135">
        <v>3342.6</v>
      </c>
      <c r="C515" s="139">
        <f t="shared" si="14"/>
        <v>2.2014309301045683</v>
      </c>
      <c r="E515" s="136">
        <v>45035</v>
      </c>
      <c r="F515" s="137">
        <v>59745.89</v>
      </c>
      <c r="G515" s="139">
        <f t="shared" si="15"/>
        <v>-0.40900957906202101</v>
      </c>
    </row>
    <row r="516" spans="1:7" ht="16.2" thickBot="1" x14ac:dyDescent="0.35">
      <c r="A516" s="134">
        <v>45036</v>
      </c>
      <c r="B516" s="135">
        <v>3203.1</v>
      </c>
      <c r="C516" s="139">
        <f t="shared" si="14"/>
        <v>-4.1733979536887453</v>
      </c>
      <c r="E516" s="136">
        <v>45036</v>
      </c>
      <c r="F516" s="137">
        <v>59586.61</v>
      </c>
      <c r="G516" s="139">
        <f t="shared" si="15"/>
        <v>-0.26659574407544823</v>
      </c>
    </row>
    <row r="517" spans="1:7" ht="16.2" thickBot="1" x14ac:dyDescent="0.35">
      <c r="A517" s="134">
        <v>45037</v>
      </c>
      <c r="B517" s="135">
        <v>3231.65</v>
      </c>
      <c r="C517" s="139">
        <f t="shared" si="14"/>
        <v>0.89132402984609238</v>
      </c>
      <c r="E517" s="136">
        <v>45037</v>
      </c>
      <c r="F517" s="137">
        <v>59538.79</v>
      </c>
      <c r="G517" s="139">
        <f t="shared" si="15"/>
        <v>-8.0252929307439561E-2</v>
      </c>
    </row>
    <row r="518" spans="1:7" ht="16.2" thickBot="1" x14ac:dyDescent="0.35">
      <c r="A518" s="134">
        <v>45040</v>
      </c>
      <c r="B518" s="135">
        <v>3192.85</v>
      </c>
      <c r="C518" s="139">
        <f t="shared" si="14"/>
        <v>-1.2006250676898855</v>
      </c>
      <c r="E518" s="136">
        <v>45040</v>
      </c>
      <c r="F518" s="137">
        <v>59873.71</v>
      </c>
      <c r="G518" s="139">
        <f t="shared" si="15"/>
        <v>0.56252402845270832</v>
      </c>
    </row>
    <row r="519" spans="1:7" ht="16.2" thickBot="1" x14ac:dyDescent="0.35">
      <c r="A519" s="134">
        <v>45041</v>
      </c>
      <c r="B519" s="135">
        <v>3226.45</v>
      </c>
      <c r="C519" s="139">
        <f t="shared" si="14"/>
        <v>1.0523513475421618</v>
      </c>
      <c r="E519" s="136">
        <v>45041</v>
      </c>
      <c r="F519" s="137">
        <v>60202.77</v>
      </c>
      <c r="G519" s="139">
        <f t="shared" si="15"/>
        <v>0.54959012895642789</v>
      </c>
    </row>
    <row r="520" spans="1:7" ht="16.2" thickBot="1" x14ac:dyDescent="0.35">
      <c r="A520" s="134">
        <v>45042</v>
      </c>
      <c r="B520" s="135">
        <v>3220</v>
      </c>
      <c r="C520" s="139">
        <f t="shared" ref="C520:C583" si="16">(B520-B519)/B519*100</f>
        <v>-0.19991011793146704</v>
      </c>
      <c r="E520" s="136">
        <v>45042</v>
      </c>
      <c r="F520" s="137">
        <v>60087.98</v>
      </c>
      <c r="G520" s="139">
        <f t="shared" ref="G520:G583" si="17">(F520-F519)/F519*100</f>
        <v>-0.19067228966373739</v>
      </c>
    </row>
    <row r="521" spans="1:7" ht="16.2" thickBot="1" x14ac:dyDescent="0.35">
      <c r="A521" s="134">
        <v>45043</v>
      </c>
      <c r="B521" s="135">
        <v>3238.45</v>
      </c>
      <c r="C521" s="139">
        <f t="shared" si="16"/>
        <v>0.57298136645962172</v>
      </c>
      <c r="E521" s="136">
        <v>45043</v>
      </c>
      <c r="F521" s="137">
        <v>60315.56</v>
      </c>
      <c r="G521" s="139">
        <f t="shared" si="17"/>
        <v>0.37874463411816217</v>
      </c>
    </row>
    <row r="522" spans="1:7" ht="16.2" thickBot="1" x14ac:dyDescent="0.35">
      <c r="A522" s="134">
        <v>45044</v>
      </c>
      <c r="B522" s="135">
        <v>3267.9</v>
      </c>
      <c r="C522" s="139">
        <f t="shared" si="16"/>
        <v>0.90938566289429434</v>
      </c>
      <c r="E522" s="136">
        <v>45044</v>
      </c>
      <c r="F522" s="137">
        <v>60721.61</v>
      </c>
      <c r="G522" s="139">
        <f t="shared" si="17"/>
        <v>0.67320936753302618</v>
      </c>
    </row>
    <row r="523" spans="1:7" ht="16.2" thickBot="1" x14ac:dyDescent="0.35">
      <c r="A523" s="140">
        <v>45048</v>
      </c>
      <c r="B523" s="135">
        <v>3253.7</v>
      </c>
      <c r="C523" s="139">
        <f t="shared" si="16"/>
        <v>-0.43452982037394883</v>
      </c>
      <c r="E523" s="136">
        <v>45048</v>
      </c>
      <c r="F523" s="137">
        <v>61301.61</v>
      </c>
      <c r="G523" s="139">
        <f t="shared" si="17"/>
        <v>0.95517888936080575</v>
      </c>
    </row>
    <row r="524" spans="1:7" ht="16.2" thickBot="1" x14ac:dyDescent="0.35">
      <c r="A524" s="140">
        <v>45049</v>
      </c>
      <c r="B524" s="135">
        <v>3268.75</v>
      </c>
      <c r="C524" s="139">
        <f t="shared" si="16"/>
        <v>0.46255032731967244</v>
      </c>
      <c r="E524" s="136">
        <v>45049</v>
      </c>
      <c r="F524" s="137">
        <v>61274.96</v>
      </c>
      <c r="G524" s="139">
        <f t="shared" si="17"/>
        <v>-4.3473572716934278E-2</v>
      </c>
    </row>
    <row r="525" spans="1:7" ht="16.2" thickBot="1" x14ac:dyDescent="0.35">
      <c r="A525" s="140">
        <v>45050</v>
      </c>
      <c r="B525" s="135">
        <v>3282.55</v>
      </c>
      <c r="C525" s="139">
        <f t="shared" si="16"/>
        <v>0.42217973231358108</v>
      </c>
      <c r="E525" s="136">
        <v>45050</v>
      </c>
      <c r="F525" s="137">
        <v>61258.13</v>
      </c>
      <c r="G525" s="139">
        <f t="shared" si="17"/>
        <v>-2.7466358199175891E-2</v>
      </c>
    </row>
    <row r="526" spans="1:7" ht="16.2" thickBot="1" x14ac:dyDescent="0.35">
      <c r="A526" s="140">
        <v>45051</v>
      </c>
      <c r="B526" s="135">
        <v>3290.8</v>
      </c>
      <c r="C526" s="139">
        <f t="shared" si="16"/>
        <v>0.2513289972734612</v>
      </c>
      <c r="E526" s="136">
        <v>45051</v>
      </c>
      <c r="F526" s="137">
        <v>61163.1</v>
      </c>
      <c r="G526" s="139">
        <f t="shared" si="17"/>
        <v>-0.155130429218128</v>
      </c>
    </row>
    <row r="527" spans="1:7" ht="16.2" thickBot="1" x14ac:dyDescent="0.35">
      <c r="A527" s="140">
        <v>45054</v>
      </c>
      <c r="B527" s="135">
        <v>3286.3</v>
      </c>
      <c r="C527" s="139">
        <f t="shared" si="16"/>
        <v>-0.13674486447064543</v>
      </c>
      <c r="E527" s="136">
        <v>45054</v>
      </c>
      <c r="F527" s="137">
        <v>61166.09</v>
      </c>
      <c r="G527" s="139">
        <f t="shared" si="17"/>
        <v>4.8885684342323439E-3</v>
      </c>
    </row>
    <row r="528" spans="1:7" ht="16.2" thickBot="1" x14ac:dyDescent="0.35">
      <c r="A528" s="140">
        <v>45055</v>
      </c>
      <c r="B528" s="135">
        <v>3383.2</v>
      </c>
      <c r="C528" s="139">
        <f t="shared" si="16"/>
        <v>2.9486048139244629</v>
      </c>
      <c r="E528" s="136">
        <v>45055</v>
      </c>
      <c r="F528" s="137">
        <v>61879.68</v>
      </c>
      <c r="G528" s="139">
        <f t="shared" si="17"/>
        <v>1.1666431514586004</v>
      </c>
    </row>
    <row r="529" spans="1:7" ht="16.2" thickBot="1" x14ac:dyDescent="0.35">
      <c r="A529" s="140">
        <v>45056</v>
      </c>
      <c r="B529" s="135">
        <v>3425.25</v>
      </c>
      <c r="C529" s="139">
        <f t="shared" si="16"/>
        <v>1.2429061243792914</v>
      </c>
      <c r="E529" s="136">
        <v>45056</v>
      </c>
      <c r="F529" s="137">
        <v>61843.360000000001</v>
      </c>
      <c r="G529" s="139">
        <f t="shared" si="17"/>
        <v>-5.8694550456627623E-2</v>
      </c>
    </row>
    <row r="530" spans="1:7" ht="16.2" thickBot="1" x14ac:dyDescent="0.35">
      <c r="A530" s="140">
        <v>45057</v>
      </c>
      <c r="B530" s="135">
        <v>3329.2</v>
      </c>
      <c r="C530" s="139">
        <f t="shared" si="16"/>
        <v>-2.804174877746155</v>
      </c>
      <c r="E530" s="136">
        <v>45057</v>
      </c>
      <c r="F530" s="137">
        <v>62158.1</v>
      </c>
      <c r="G530" s="139">
        <f t="shared" si="17"/>
        <v>0.50893095071160099</v>
      </c>
    </row>
    <row r="531" spans="1:7" ht="16.2" thickBot="1" x14ac:dyDescent="0.35">
      <c r="A531" s="140">
        <v>45058</v>
      </c>
      <c r="B531" s="135">
        <v>3315.05</v>
      </c>
      <c r="C531" s="139">
        <f t="shared" si="16"/>
        <v>-0.4250270335215558</v>
      </c>
      <c r="E531" s="136">
        <v>45058</v>
      </c>
      <c r="F531" s="137">
        <v>61857.69</v>
      </c>
      <c r="G531" s="139">
        <f t="shared" si="17"/>
        <v>-0.48329984346367771</v>
      </c>
    </row>
    <row r="532" spans="1:7" ht="16.2" thickBot="1" x14ac:dyDescent="0.35">
      <c r="A532" s="134">
        <v>45061</v>
      </c>
      <c r="B532" s="135">
        <v>3276.5</v>
      </c>
      <c r="C532" s="139">
        <f t="shared" si="16"/>
        <v>-1.1628783879579547</v>
      </c>
      <c r="E532" s="136">
        <v>45061</v>
      </c>
      <c r="F532" s="137">
        <v>62157.1</v>
      </c>
      <c r="G532" s="139">
        <f t="shared" si="17"/>
        <v>0.4840303606552333</v>
      </c>
    </row>
    <row r="533" spans="1:7" ht="16.2" thickBot="1" x14ac:dyDescent="0.35">
      <c r="A533" s="134">
        <v>45062</v>
      </c>
      <c r="B533" s="135">
        <v>3279.45</v>
      </c>
      <c r="C533" s="139">
        <f t="shared" si="16"/>
        <v>9.0035098428195279E-2</v>
      </c>
      <c r="E533" s="136">
        <v>45062</v>
      </c>
      <c r="F533" s="137">
        <v>62474.11</v>
      </c>
      <c r="G533" s="139">
        <f t="shared" si="17"/>
        <v>0.5100141415864029</v>
      </c>
    </row>
    <row r="534" spans="1:7" ht="16.2" thickBot="1" x14ac:dyDescent="0.35">
      <c r="A534" s="134">
        <v>45063</v>
      </c>
      <c r="B534" s="135">
        <v>3268</v>
      </c>
      <c r="C534" s="139">
        <f t="shared" si="16"/>
        <v>-0.34914391132658884</v>
      </c>
      <c r="E534" s="136">
        <v>45063</v>
      </c>
      <c r="F534" s="137">
        <v>61932.32</v>
      </c>
      <c r="G534" s="139">
        <f t="shared" si="17"/>
        <v>-0.86722323855434014</v>
      </c>
    </row>
    <row r="535" spans="1:7" ht="16.2" thickBot="1" x14ac:dyDescent="0.35">
      <c r="A535" s="134">
        <v>45064</v>
      </c>
      <c r="B535" s="135">
        <v>3153.5</v>
      </c>
      <c r="C535" s="139">
        <f t="shared" si="16"/>
        <v>-3.503671970624235</v>
      </c>
      <c r="E535" s="136">
        <v>45064</v>
      </c>
      <c r="F535" s="137">
        <v>61937.86</v>
      </c>
      <c r="G535" s="139">
        <f t="shared" si="17"/>
        <v>8.9452486197850699E-3</v>
      </c>
    </row>
    <row r="536" spans="1:7" ht="16.2" thickBot="1" x14ac:dyDescent="0.35">
      <c r="A536" s="134">
        <v>45065</v>
      </c>
      <c r="B536" s="135">
        <v>3098.3</v>
      </c>
      <c r="C536" s="139">
        <f t="shared" si="16"/>
        <v>-1.7504360234659844</v>
      </c>
      <c r="E536" s="136">
        <v>45065</v>
      </c>
      <c r="F536" s="137">
        <v>61556.25</v>
      </c>
      <c r="G536" s="139">
        <f t="shared" si="17"/>
        <v>-0.61611750874182702</v>
      </c>
    </row>
    <row r="537" spans="1:7" ht="16.2" thickBot="1" x14ac:dyDescent="0.35">
      <c r="A537" s="134">
        <v>45068</v>
      </c>
      <c r="B537" s="135">
        <v>3265</v>
      </c>
      <c r="C537" s="139">
        <f t="shared" si="16"/>
        <v>5.3803698802569091</v>
      </c>
      <c r="E537" s="136">
        <v>45068</v>
      </c>
      <c r="F537" s="137">
        <v>61579.78</v>
      </c>
      <c r="G537" s="139">
        <f t="shared" si="17"/>
        <v>3.8225200527970495E-2</v>
      </c>
    </row>
    <row r="538" spans="1:7" ht="16.2" thickBot="1" x14ac:dyDescent="0.35">
      <c r="A538" s="134">
        <v>45069</v>
      </c>
      <c r="B538" s="135">
        <v>3385.8</v>
      </c>
      <c r="C538" s="139">
        <f t="shared" si="16"/>
        <v>3.6998468606431913</v>
      </c>
      <c r="E538" s="136">
        <v>45069</v>
      </c>
      <c r="F538" s="137">
        <v>62098.16</v>
      </c>
      <c r="G538" s="139">
        <f t="shared" si="17"/>
        <v>0.84180229289550024</v>
      </c>
    </row>
    <row r="539" spans="1:7" ht="16.2" thickBot="1" x14ac:dyDescent="0.35">
      <c r="A539" s="134">
        <v>45070</v>
      </c>
      <c r="B539" s="135">
        <v>3383.15</v>
      </c>
      <c r="C539" s="139">
        <f t="shared" si="16"/>
        <v>-7.8268060724203753E-2</v>
      </c>
      <c r="E539" s="136">
        <v>45070</v>
      </c>
      <c r="F539" s="137">
        <v>61834.28</v>
      </c>
      <c r="G539" s="139">
        <f t="shared" si="17"/>
        <v>-0.4249401270504708</v>
      </c>
    </row>
    <row r="540" spans="1:7" ht="16.2" thickBot="1" x14ac:dyDescent="0.35">
      <c r="A540" s="134">
        <v>45071</v>
      </c>
      <c r="B540" s="135">
        <v>3435.65</v>
      </c>
      <c r="C540" s="139">
        <f t="shared" si="16"/>
        <v>1.5518082260615107</v>
      </c>
      <c r="E540" s="136">
        <v>45071</v>
      </c>
      <c r="F540" s="137">
        <v>61706.13</v>
      </c>
      <c r="G540" s="139">
        <f t="shared" si="17"/>
        <v>-0.20724750090079716</v>
      </c>
    </row>
    <row r="541" spans="1:7" ht="16.2" thickBot="1" x14ac:dyDescent="0.35">
      <c r="A541" s="134">
        <v>45072</v>
      </c>
      <c r="B541" s="135">
        <v>3514</v>
      </c>
      <c r="C541" s="139">
        <f t="shared" si="16"/>
        <v>2.2805000509365012</v>
      </c>
      <c r="E541" s="136">
        <v>45072</v>
      </c>
      <c r="F541" s="137">
        <v>61985.36</v>
      </c>
      <c r="G541" s="139">
        <f t="shared" si="17"/>
        <v>0.45251581974109095</v>
      </c>
    </row>
    <row r="542" spans="1:7" ht="16.2" thickBot="1" x14ac:dyDescent="0.35">
      <c r="A542" s="134">
        <v>45075</v>
      </c>
      <c r="B542" s="135">
        <v>3477.85</v>
      </c>
      <c r="C542" s="139">
        <f t="shared" si="16"/>
        <v>-1.0287421741605034</v>
      </c>
      <c r="E542" s="136">
        <v>45075</v>
      </c>
      <c r="F542" s="137">
        <v>62801.54</v>
      </c>
      <c r="G542" s="139">
        <f t="shared" si="17"/>
        <v>1.3167302730838384</v>
      </c>
    </row>
    <row r="543" spans="1:7" ht="16.2" thickBot="1" x14ac:dyDescent="0.35">
      <c r="A543" s="134">
        <v>45076</v>
      </c>
      <c r="B543" s="135">
        <v>3458</v>
      </c>
      <c r="C543" s="139">
        <f t="shared" si="16"/>
        <v>-0.57075492042497256</v>
      </c>
      <c r="E543" s="136">
        <v>45076</v>
      </c>
      <c r="F543" s="137">
        <v>62839.85</v>
      </c>
      <c r="G543" s="139">
        <f t="shared" si="17"/>
        <v>6.1001688812085932E-2</v>
      </c>
    </row>
    <row r="544" spans="1:7" ht="16.2" thickBot="1" x14ac:dyDescent="0.35">
      <c r="A544" s="134">
        <v>45077</v>
      </c>
      <c r="B544" s="135">
        <v>3443.6</v>
      </c>
      <c r="C544" s="139">
        <f t="shared" si="16"/>
        <v>-0.41642567958357696</v>
      </c>
      <c r="E544" s="136">
        <v>45077</v>
      </c>
      <c r="F544" s="137">
        <v>62839.97</v>
      </c>
      <c r="G544" s="139">
        <f t="shared" si="17"/>
        <v>1.9096162706088468E-4</v>
      </c>
    </row>
    <row r="545" spans="1:7" ht="16.2" thickBot="1" x14ac:dyDescent="0.35">
      <c r="A545" s="140">
        <v>45078</v>
      </c>
      <c r="B545" s="135">
        <v>3525.4</v>
      </c>
      <c r="C545" s="139">
        <f t="shared" si="16"/>
        <v>2.3754210709722439</v>
      </c>
      <c r="E545" s="136">
        <v>45078</v>
      </c>
      <c r="F545" s="137">
        <v>62736.47</v>
      </c>
      <c r="G545" s="139">
        <f t="shared" si="17"/>
        <v>-0.16470408881481005</v>
      </c>
    </row>
    <row r="546" spans="1:7" ht="16.2" thickBot="1" x14ac:dyDescent="0.35">
      <c r="A546" s="140">
        <v>45079</v>
      </c>
      <c r="B546" s="135">
        <v>3511.6</v>
      </c>
      <c r="C546" s="139">
        <f t="shared" si="16"/>
        <v>-0.3914449424178868</v>
      </c>
      <c r="E546" s="136">
        <v>45079</v>
      </c>
      <c r="F546" s="137">
        <v>62601.97</v>
      </c>
      <c r="G546" s="139">
        <f t="shared" si="17"/>
        <v>-0.21438885547752368</v>
      </c>
    </row>
    <row r="547" spans="1:7" ht="16.2" thickBot="1" x14ac:dyDescent="0.35">
      <c r="A547" s="140">
        <v>45082</v>
      </c>
      <c r="B547" s="135">
        <v>3462.3</v>
      </c>
      <c r="C547" s="139">
        <f t="shared" si="16"/>
        <v>-1.4039184417359529</v>
      </c>
      <c r="E547" s="136">
        <v>45082</v>
      </c>
      <c r="F547" s="137">
        <v>62759.19</v>
      </c>
      <c r="G547" s="139">
        <f t="shared" si="17"/>
        <v>0.25114225638586318</v>
      </c>
    </row>
    <row r="548" spans="1:7" ht="16.2" thickBot="1" x14ac:dyDescent="0.35">
      <c r="A548" s="140">
        <v>45083</v>
      </c>
      <c r="B548" s="135">
        <v>3537.9</v>
      </c>
      <c r="C548" s="139">
        <f t="shared" si="16"/>
        <v>2.1835196256823468</v>
      </c>
      <c r="E548" s="136">
        <v>45083</v>
      </c>
      <c r="F548" s="137">
        <v>62738.35</v>
      </c>
      <c r="G548" s="139">
        <f t="shared" si="17"/>
        <v>-3.3206292178091817E-2</v>
      </c>
    </row>
    <row r="549" spans="1:7" ht="16.2" thickBot="1" x14ac:dyDescent="0.35">
      <c r="A549" s="140">
        <v>45084</v>
      </c>
      <c r="B549" s="135">
        <v>3542.1</v>
      </c>
      <c r="C549" s="139">
        <f t="shared" si="16"/>
        <v>0.11871449164758241</v>
      </c>
      <c r="E549" s="136">
        <v>45084</v>
      </c>
      <c r="F549" s="137">
        <v>62917.39</v>
      </c>
      <c r="G549" s="139">
        <f t="shared" si="17"/>
        <v>0.2853756912637978</v>
      </c>
    </row>
    <row r="550" spans="1:7" ht="16.2" thickBot="1" x14ac:dyDescent="0.35">
      <c r="A550" s="140">
        <v>45085</v>
      </c>
      <c r="B550" s="135">
        <v>3499.7</v>
      </c>
      <c r="C550" s="139">
        <f t="shared" si="16"/>
        <v>-1.1970300104457832</v>
      </c>
      <c r="E550" s="136">
        <v>45085</v>
      </c>
      <c r="F550" s="137">
        <v>63140.17</v>
      </c>
      <c r="G550" s="139">
        <f t="shared" si="17"/>
        <v>0.35408334643251865</v>
      </c>
    </row>
    <row r="551" spans="1:7" ht="16.2" thickBot="1" x14ac:dyDescent="0.35">
      <c r="A551" s="140">
        <v>45086</v>
      </c>
      <c r="B551" s="135">
        <v>3428.75</v>
      </c>
      <c r="C551" s="139">
        <f t="shared" si="16"/>
        <v>-2.0273166271394643</v>
      </c>
      <c r="E551" s="136">
        <v>45086</v>
      </c>
      <c r="F551" s="137">
        <v>62810.68</v>
      </c>
      <c r="G551" s="139">
        <f t="shared" si="17"/>
        <v>-0.52183894975258693</v>
      </c>
    </row>
    <row r="552" spans="1:7" ht="16.2" thickBot="1" x14ac:dyDescent="0.35">
      <c r="A552" s="140">
        <v>45089</v>
      </c>
      <c r="B552" s="135">
        <v>3438.45</v>
      </c>
      <c r="C552" s="139">
        <f t="shared" si="16"/>
        <v>0.28290193219102638</v>
      </c>
      <c r="E552" s="136">
        <v>45089</v>
      </c>
      <c r="F552" s="137">
        <v>62659.98</v>
      </c>
      <c r="G552" s="139">
        <f t="shared" si="17"/>
        <v>-0.23992734993475168</v>
      </c>
    </row>
    <row r="553" spans="1:7" ht="16.2" thickBot="1" x14ac:dyDescent="0.35">
      <c r="A553" s="134">
        <v>45090</v>
      </c>
      <c r="B553" s="135">
        <v>3487.7</v>
      </c>
      <c r="C553" s="139">
        <f t="shared" si="16"/>
        <v>1.4323314284052409</v>
      </c>
      <c r="E553" s="136">
        <v>45090</v>
      </c>
      <c r="F553" s="137">
        <v>62779.14</v>
      </c>
      <c r="G553" s="139">
        <f t="shared" si="17"/>
        <v>0.19016922763141036</v>
      </c>
    </row>
    <row r="554" spans="1:7" ht="16.2" thickBot="1" x14ac:dyDescent="0.35">
      <c r="A554" s="134">
        <v>45091</v>
      </c>
      <c r="B554" s="135">
        <v>3485.95</v>
      </c>
      <c r="C554" s="139">
        <f t="shared" si="16"/>
        <v>-5.0176333973678926E-2</v>
      </c>
      <c r="E554" s="136">
        <v>45091</v>
      </c>
      <c r="F554" s="137">
        <v>63115.48</v>
      </c>
      <c r="G554" s="139">
        <f t="shared" si="17"/>
        <v>0.53575120653134756</v>
      </c>
    </row>
    <row r="555" spans="1:7" ht="16.2" thickBot="1" x14ac:dyDescent="0.35">
      <c r="A555" s="134">
        <v>45092</v>
      </c>
      <c r="B555" s="135">
        <v>3581.05</v>
      </c>
      <c r="C555" s="139">
        <f t="shared" si="16"/>
        <v>2.7280942067442266</v>
      </c>
      <c r="E555" s="136">
        <v>45092</v>
      </c>
      <c r="F555" s="137">
        <v>63153.78</v>
      </c>
      <c r="G555" s="139">
        <f t="shared" si="17"/>
        <v>6.068241895648363E-2</v>
      </c>
    </row>
    <row r="556" spans="1:7" ht="16.2" thickBot="1" x14ac:dyDescent="0.35">
      <c r="A556" s="134">
        <v>45093</v>
      </c>
      <c r="B556" s="135">
        <v>3579.6</v>
      </c>
      <c r="C556" s="139">
        <f t="shared" si="16"/>
        <v>-4.0490917468347903E-2</v>
      </c>
      <c r="E556" s="136">
        <v>45093</v>
      </c>
      <c r="F556" s="137">
        <v>62960.73</v>
      </c>
      <c r="G556" s="139">
        <f t="shared" si="17"/>
        <v>-0.30568241520934397</v>
      </c>
    </row>
    <row r="557" spans="1:7" ht="16.2" thickBot="1" x14ac:dyDescent="0.35">
      <c r="A557" s="134">
        <v>45096</v>
      </c>
      <c r="B557" s="135">
        <v>3584.75</v>
      </c>
      <c r="C557" s="139">
        <f t="shared" si="16"/>
        <v>0.1438708235557071</v>
      </c>
      <c r="E557" s="136">
        <v>45096</v>
      </c>
      <c r="F557" s="137">
        <v>63474.21</v>
      </c>
      <c r="G557" s="139">
        <f t="shared" si="17"/>
        <v>0.81555598227656489</v>
      </c>
    </row>
    <row r="558" spans="1:7" ht="16.2" thickBot="1" x14ac:dyDescent="0.35">
      <c r="A558" s="134">
        <v>45097</v>
      </c>
      <c r="B558" s="135">
        <v>3566.2</v>
      </c>
      <c r="C558" s="139">
        <f t="shared" si="16"/>
        <v>-0.51746983750610731</v>
      </c>
      <c r="E558" s="136">
        <v>45097</v>
      </c>
      <c r="F558" s="137">
        <v>63176.77</v>
      </c>
      <c r="G558" s="139">
        <f t="shared" si="17"/>
        <v>-0.46859976673991272</v>
      </c>
    </row>
    <row r="559" spans="1:7" ht="16.2" thickBot="1" x14ac:dyDescent="0.35">
      <c r="A559" s="134">
        <v>45098</v>
      </c>
      <c r="B559" s="135">
        <v>3509.55</v>
      </c>
      <c r="C559" s="139">
        <f t="shared" si="16"/>
        <v>-1.5885256014805573</v>
      </c>
      <c r="E559" s="136">
        <v>45098</v>
      </c>
      <c r="F559" s="137">
        <v>63467.46</v>
      </c>
      <c r="G559" s="139">
        <f t="shared" si="17"/>
        <v>0.46012165547558437</v>
      </c>
    </row>
    <row r="560" spans="1:7" ht="16.2" thickBot="1" x14ac:dyDescent="0.35">
      <c r="A560" s="134">
        <v>45099</v>
      </c>
      <c r="B560" s="135">
        <v>3543.85</v>
      </c>
      <c r="C560" s="139">
        <f t="shared" si="16"/>
        <v>0.97733327634596245</v>
      </c>
      <c r="E560" s="136">
        <v>45099</v>
      </c>
      <c r="F560" s="137">
        <v>63601.71</v>
      </c>
      <c r="G560" s="139">
        <f t="shared" si="17"/>
        <v>0.21152571727307193</v>
      </c>
    </row>
    <row r="561" spans="1:7" ht="16.2" thickBot="1" x14ac:dyDescent="0.35">
      <c r="A561" s="134">
        <v>45100</v>
      </c>
      <c r="B561" s="135">
        <v>3462.95</v>
      </c>
      <c r="C561" s="139">
        <f t="shared" si="16"/>
        <v>-2.2828279977990062</v>
      </c>
      <c r="E561" s="136">
        <v>45100</v>
      </c>
      <c r="F561" s="137">
        <v>63124.28</v>
      </c>
      <c r="G561" s="139">
        <f t="shared" si="17"/>
        <v>-0.75065591789906327</v>
      </c>
    </row>
    <row r="562" spans="1:7" ht="16.2" thickBot="1" x14ac:dyDescent="0.35">
      <c r="A562" s="134">
        <v>45103</v>
      </c>
      <c r="B562" s="135">
        <v>3534.35</v>
      </c>
      <c r="C562" s="139">
        <f t="shared" si="16"/>
        <v>2.0618258998830505</v>
      </c>
      <c r="E562" s="136">
        <v>45103</v>
      </c>
      <c r="F562" s="137">
        <v>62946.5</v>
      </c>
      <c r="G562" s="139">
        <f t="shared" si="17"/>
        <v>-0.28163489547920206</v>
      </c>
    </row>
    <row r="563" spans="1:7" ht="16.2" thickBot="1" x14ac:dyDescent="0.35">
      <c r="A563" s="134">
        <v>45104</v>
      </c>
      <c r="B563" s="135">
        <v>3583.3</v>
      </c>
      <c r="C563" s="139">
        <f t="shared" si="16"/>
        <v>1.3849788504251213</v>
      </c>
      <c r="E563" s="136">
        <v>45104</v>
      </c>
      <c r="F563" s="137">
        <v>63151.85</v>
      </c>
      <c r="G563" s="139">
        <f t="shared" si="17"/>
        <v>0.32622941704463082</v>
      </c>
    </row>
    <row r="564" spans="1:7" ht="16.2" thickBot="1" x14ac:dyDescent="0.35">
      <c r="A564" s="134">
        <v>45105</v>
      </c>
      <c r="B564" s="135">
        <v>3601.55</v>
      </c>
      <c r="C564" s="139">
        <f t="shared" si="16"/>
        <v>0.50930706332151932</v>
      </c>
      <c r="E564" s="136">
        <v>45105</v>
      </c>
      <c r="F564" s="137">
        <v>63701.78</v>
      </c>
      <c r="G564" s="139">
        <f t="shared" si="17"/>
        <v>0.87080584337592692</v>
      </c>
    </row>
    <row r="565" spans="1:7" ht="16.2" thickBot="1" x14ac:dyDescent="0.35">
      <c r="A565" s="134">
        <v>45107</v>
      </c>
      <c r="B565" s="135">
        <v>3583.6</v>
      </c>
      <c r="C565" s="139">
        <f t="shared" si="16"/>
        <v>-0.49839652371896187</v>
      </c>
      <c r="E565" s="136">
        <v>45107</v>
      </c>
      <c r="F565" s="137">
        <v>64068.44</v>
      </c>
      <c r="G565" s="139">
        <f t="shared" si="17"/>
        <v>0.57558831166099833</v>
      </c>
    </row>
    <row r="566" spans="1:7" ht="16.2" thickBot="1" x14ac:dyDescent="0.35">
      <c r="A566" s="140">
        <v>45110</v>
      </c>
      <c r="B566" s="135">
        <v>3587.55</v>
      </c>
      <c r="C566" s="139">
        <f t="shared" si="16"/>
        <v>0.1102243553968153</v>
      </c>
      <c r="E566" s="136">
        <v>45110</v>
      </c>
      <c r="F566" s="137">
        <v>64836.160000000003</v>
      </c>
      <c r="G566" s="139">
        <f t="shared" si="17"/>
        <v>1.1982810881613493</v>
      </c>
    </row>
    <row r="567" spans="1:7" ht="16.2" thickBot="1" x14ac:dyDescent="0.35">
      <c r="A567" s="140">
        <v>45111</v>
      </c>
      <c r="B567" s="135">
        <v>3550.1</v>
      </c>
      <c r="C567" s="139">
        <f t="shared" si="16"/>
        <v>-1.0438878900642574</v>
      </c>
      <c r="E567" s="136">
        <v>45111</v>
      </c>
      <c r="F567" s="137">
        <v>65503.85</v>
      </c>
      <c r="G567" s="139">
        <f t="shared" si="17"/>
        <v>1.0298111424242198</v>
      </c>
    </row>
    <row r="568" spans="1:7" ht="16.2" thickBot="1" x14ac:dyDescent="0.35">
      <c r="A568" s="140">
        <v>45112</v>
      </c>
      <c r="B568" s="135">
        <v>3747.95</v>
      </c>
      <c r="C568" s="139">
        <f t="shared" si="16"/>
        <v>5.5730824483817329</v>
      </c>
      <c r="E568" s="136">
        <v>45112</v>
      </c>
      <c r="F568" s="137">
        <v>65493.68</v>
      </c>
      <c r="G568" s="139">
        <f t="shared" si="17"/>
        <v>-1.552580497176617E-2</v>
      </c>
    </row>
    <row r="569" spans="1:7" ht="16.2" thickBot="1" x14ac:dyDescent="0.35">
      <c r="A569" s="140">
        <v>45113</v>
      </c>
      <c r="B569" s="135">
        <v>3736.85</v>
      </c>
      <c r="C569" s="139">
        <f t="shared" si="16"/>
        <v>-0.29616190183966995</v>
      </c>
      <c r="E569" s="136">
        <v>45113</v>
      </c>
      <c r="F569" s="137">
        <v>65391.88</v>
      </c>
      <c r="G569" s="139">
        <f t="shared" si="17"/>
        <v>-0.15543484501100399</v>
      </c>
    </row>
    <row r="570" spans="1:7" ht="16.2" thickBot="1" x14ac:dyDescent="0.35">
      <c r="A570" s="140">
        <v>45114</v>
      </c>
      <c r="B570" s="135">
        <v>3668.65</v>
      </c>
      <c r="C570" s="139">
        <f t="shared" si="16"/>
        <v>-1.8250665667607697</v>
      </c>
      <c r="E570" s="136">
        <v>45114</v>
      </c>
      <c r="F570" s="137">
        <v>65559.41</v>
      </c>
      <c r="G570" s="139">
        <f t="shared" si="17"/>
        <v>0.25619388829317358</v>
      </c>
    </row>
    <row r="571" spans="1:7" ht="16.2" thickBot="1" x14ac:dyDescent="0.35">
      <c r="A571" s="140">
        <v>45117</v>
      </c>
      <c r="B571" s="135">
        <v>3639.95</v>
      </c>
      <c r="C571" s="139">
        <f t="shared" si="16"/>
        <v>-0.78230411731836702</v>
      </c>
      <c r="E571" s="136">
        <v>45117</v>
      </c>
      <c r="F571" s="137">
        <v>65482.33</v>
      </c>
      <c r="G571" s="139">
        <f t="shared" si="17"/>
        <v>-0.11757274813791298</v>
      </c>
    </row>
    <row r="572" spans="1:7" ht="16.2" thickBot="1" x14ac:dyDescent="0.35">
      <c r="A572" s="140">
        <v>45118</v>
      </c>
      <c r="B572" s="135">
        <v>3641.45</v>
      </c>
      <c r="C572" s="139">
        <f t="shared" si="16"/>
        <v>4.1209357271391092E-2</v>
      </c>
      <c r="E572" s="136">
        <v>45118</v>
      </c>
      <c r="F572" s="137">
        <v>65598.649999999994</v>
      </c>
      <c r="G572" s="139">
        <f t="shared" si="17"/>
        <v>0.17763570722054703</v>
      </c>
    </row>
    <row r="573" spans="1:7" ht="16.2" thickBot="1" x14ac:dyDescent="0.35">
      <c r="A573" s="140">
        <v>45119</v>
      </c>
      <c r="B573" s="135">
        <v>3633.5</v>
      </c>
      <c r="C573" s="139">
        <f t="shared" si="16"/>
        <v>-0.21831962542393329</v>
      </c>
      <c r="E573" s="136">
        <v>45119</v>
      </c>
      <c r="F573" s="137">
        <v>65759.28</v>
      </c>
      <c r="G573" s="139">
        <f t="shared" si="17"/>
        <v>0.24486784407911547</v>
      </c>
    </row>
    <row r="574" spans="1:7" ht="16.2" thickBot="1" x14ac:dyDescent="0.35">
      <c r="A574" s="134">
        <v>45120</v>
      </c>
      <c r="B574" s="135">
        <v>3620.9</v>
      </c>
      <c r="C574" s="139">
        <f t="shared" si="16"/>
        <v>-0.34677308380349275</v>
      </c>
      <c r="E574" s="136">
        <v>45120</v>
      </c>
      <c r="F574" s="137">
        <v>65667.070000000007</v>
      </c>
      <c r="G574" s="139">
        <f t="shared" si="17"/>
        <v>-0.14022355475910298</v>
      </c>
    </row>
    <row r="575" spans="1:7" ht="16.2" thickBot="1" x14ac:dyDescent="0.35">
      <c r="A575" s="134">
        <v>45121</v>
      </c>
      <c r="B575" s="135">
        <v>3677.2</v>
      </c>
      <c r="C575" s="139">
        <f t="shared" si="16"/>
        <v>1.5548620508713227</v>
      </c>
      <c r="E575" s="136">
        <v>45121</v>
      </c>
      <c r="F575" s="137">
        <v>65775.490000000005</v>
      </c>
      <c r="G575" s="139">
        <f t="shared" si="17"/>
        <v>0.16510558488447594</v>
      </c>
    </row>
    <row r="576" spans="1:7" ht="16.2" thickBot="1" x14ac:dyDescent="0.35">
      <c r="A576" s="134">
        <v>45124</v>
      </c>
      <c r="B576" s="135">
        <v>3662.9</v>
      </c>
      <c r="C576" s="139">
        <f t="shared" si="16"/>
        <v>-0.38888284564341696</v>
      </c>
      <c r="E576" s="136">
        <v>45124</v>
      </c>
      <c r="F576" s="137">
        <v>66148.179999999993</v>
      </c>
      <c r="G576" s="139">
        <f t="shared" si="17"/>
        <v>0.56660923392587081</v>
      </c>
    </row>
    <row r="577" spans="1:7" ht="16.2" thickBot="1" x14ac:dyDescent="0.35">
      <c r="A577" s="134">
        <v>45125</v>
      </c>
      <c r="B577" s="135">
        <v>3626.65</v>
      </c>
      <c r="C577" s="139">
        <f t="shared" si="16"/>
        <v>-0.98965300718010307</v>
      </c>
      <c r="E577" s="136">
        <v>45125</v>
      </c>
      <c r="F577" s="137">
        <v>66828.960000000006</v>
      </c>
      <c r="G577" s="139">
        <f t="shared" si="17"/>
        <v>1.0291741964782908</v>
      </c>
    </row>
    <row r="578" spans="1:7" ht="16.2" thickBot="1" x14ac:dyDescent="0.35">
      <c r="A578" s="134">
        <v>45126</v>
      </c>
      <c r="B578" s="135">
        <v>3638.05</v>
      </c>
      <c r="C578" s="139">
        <f t="shared" si="16"/>
        <v>0.31433967986985484</v>
      </c>
      <c r="E578" s="136">
        <v>45126</v>
      </c>
      <c r="F578" s="137">
        <v>66905.009999999995</v>
      </c>
      <c r="G578" s="139">
        <f t="shared" si="17"/>
        <v>0.11379797022127586</v>
      </c>
    </row>
    <row r="579" spans="1:7" ht="16.2" thickBot="1" x14ac:dyDescent="0.35">
      <c r="A579" s="134">
        <v>45127</v>
      </c>
      <c r="B579" s="135">
        <v>3666.55</v>
      </c>
      <c r="C579" s="139">
        <f t="shared" si="16"/>
        <v>0.78338670441582703</v>
      </c>
      <c r="E579" s="136">
        <v>45127</v>
      </c>
      <c r="F579" s="137">
        <v>67074.34</v>
      </c>
      <c r="G579" s="139">
        <f t="shared" si="17"/>
        <v>0.25309016469768369</v>
      </c>
    </row>
    <row r="580" spans="1:7" ht="16.2" thickBot="1" x14ac:dyDescent="0.35">
      <c r="A580" s="134">
        <v>45128</v>
      </c>
      <c r="B580" s="135">
        <v>3688.3</v>
      </c>
      <c r="C580" s="139">
        <f t="shared" si="16"/>
        <v>0.59320069274931475</v>
      </c>
      <c r="E580" s="136">
        <v>45128</v>
      </c>
      <c r="F580" s="137">
        <v>66907.070000000007</v>
      </c>
      <c r="G580" s="139">
        <f t="shared" si="17"/>
        <v>-0.24938001626253725</v>
      </c>
    </row>
    <row r="581" spans="1:7" ht="16.2" thickBot="1" x14ac:dyDescent="0.35">
      <c r="A581" s="134">
        <v>45131</v>
      </c>
      <c r="B581" s="135">
        <v>3686</v>
      </c>
      <c r="C581" s="139">
        <f t="shared" si="16"/>
        <v>-6.235935254724892E-2</v>
      </c>
      <c r="E581" s="136">
        <v>45131</v>
      </c>
      <c r="F581" s="137">
        <v>66629.14</v>
      </c>
      <c r="G581" s="139">
        <f t="shared" si="17"/>
        <v>-0.41539705744102606</v>
      </c>
    </row>
    <row r="582" spans="1:7" ht="16.2" thickBot="1" x14ac:dyDescent="0.35">
      <c r="A582" s="134">
        <v>45132</v>
      </c>
      <c r="B582" s="135">
        <v>3719.4</v>
      </c>
      <c r="C582" s="139">
        <f t="shared" si="16"/>
        <v>0.90613130765057215</v>
      </c>
      <c r="E582" s="136">
        <v>45132</v>
      </c>
      <c r="F582" s="137">
        <v>66531.199999999997</v>
      </c>
      <c r="G582" s="139">
        <f t="shared" si="17"/>
        <v>-0.1469927422145961</v>
      </c>
    </row>
    <row r="583" spans="1:7" ht="16.2" thickBot="1" x14ac:dyDescent="0.35">
      <c r="A583" s="134">
        <v>45133</v>
      </c>
      <c r="B583" s="135">
        <v>3680.45</v>
      </c>
      <c r="C583" s="139">
        <f t="shared" si="16"/>
        <v>-1.0472119159004212</v>
      </c>
      <c r="E583" s="136">
        <v>45133</v>
      </c>
      <c r="F583" s="137">
        <v>66434.720000000001</v>
      </c>
      <c r="G583" s="139">
        <f t="shared" si="17"/>
        <v>-0.14501466980904587</v>
      </c>
    </row>
    <row r="584" spans="1:7" ht="16.2" thickBot="1" x14ac:dyDescent="0.35">
      <c r="A584" s="134">
        <v>45134</v>
      </c>
      <c r="B584" s="135">
        <v>3741.9</v>
      </c>
      <c r="C584" s="139">
        <f t="shared" ref="C584:C647" si="18">(B584-B583)/B583*100</f>
        <v>1.6696327894686867</v>
      </c>
      <c r="E584" s="136">
        <v>45134</v>
      </c>
      <c r="F584" s="137">
        <v>66834.12</v>
      </c>
      <c r="G584" s="139">
        <f t="shared" ref="G584:G647" si="19">(F584-F583)/F583*100</f>
        <v>0.60119166604449326</v>
      </c>
    </row>
    <row r="585" spans="1:7" ht="16.2" thickBot="1" x14ac:dyDescent="0.35">
      <c r="A585" s="134">
        <v>45135</v>
      </c>
      <c r="B585" s="135">
        <v>3739.05</v>
      </c>
      <c r="C585" s="139">
        <f t="shared" si="18"/>
        <v>-7.6164515353160406E-2</v>
      </c>
      <c r="E585" s="136">
        <v>45135</v>
      </c>
      <c r="F585" s="137">
        <v>66266.350000000006</v>
      </c>
      <c r="G585" s="139">
        <f t="shared" si="19"/>
        <v>-0.84952117271835037</v>
      </c>
    </row>
    <row r="586" spans="1:7" ht="16.2" thickBot="1" x14ac:dyDescent="0.35">
      <c r="A586" s="134">
        <v>45138</v>
      </c>
      <c r="B586" s="135">
        <v>3684.3</v>
      </c>
      <c r="C586" s="139">
        <f t="shared" si="18"/>
        <v>-1.4642756850002003</v>
      </c>
      <c r="E586" s="136">
        <v>45138</v>
      </c>
      <c r="F586" s="137">
        <v>66156.39</v>
      </c>
      <c r="G586" s="139">
        <f t="shared" si="19"/>
        <v>-0.16593640663776771</v>
      </c>
    </row>
    <row r="587" spans="1:7" ht="16.2" thickBot="1" x14ac:dyDescent="0.35">
      <c r="A587" s="140">
        <v>45139</v>
      </c>
      <c r="B587" s="135">
        <v>3639.5</v>
      </c>
      <c r="C587" s="139">
        <f t="shared" si="18"/>
        <v>-1.215970469288608</v>
      </c>
      <c r="E587" s="136">
        <v>45139</v>
      </c>
      <c r="F587" s="137">
        <v>66532.98</v>
      </c>
      <c r="G587" s="139">
        <f t="shared" si="19"/>
        <v>0.56924206414527223</v>
      </c>
    </row>
    <row r="588" spans="1:7" ht="16.2" thickBot="1" x14ac:dyDescent="0.35">
      <c r="A588" s="140">
        <v>45140</v>
      </c>
      <c r="B588" s="135">
        <v>3690.6</v>
      </c>
      <c r="C588" s="139">
        <f t="shared" si="18"/>
        <v>1.4040390163483969</v>
      </c>
      <c r="E588" s="136">
        <v>45140</v>
      </c>
      <c r="F588" s="137">
        <v>66064.41</v>
      </c>
      <c r="G588" s="139">
        <f t="shared" si="19"/>
        <v>-0.70426726715080612</v>
      </c>
    </row>
    <row r="589" spans="1:7" ht="16.2" thickBot="1" x14ac:dyDescent="0.35">
      <c r="A589" s="140">
        <v>45141</v>
      </c>
      <c r="B589" s="135">
        <v>3726.3</v>
      </c>
      <c r="C589" s="139">
        <f t="shared" si="18"/>
        <v>0.96732238660381165</v>
      </c>
      <c r="E589" s="136">
        <v>45141</v>
      </c>
      <c r="F589" s="137">
        <v>65550.820000000007</v>
      </c>
      <c r="G589" s="139">
        <f t="shared" si="19"/>
        <v>-0.77740798714466153</v>
      </c>
    </row>
    <row r="590" spans="1:7" ht="16.2" thickBot="1" x14ac:dyDescent="0.35">
      <c r="A590" s="140">
        <v>45142</v>
      </c>
      <c r="B590" s="135">
        <v>3745.4</v>
      </c>
      <c r="C590" s="139">
        <f t="shared" si="18"/>
        <v>0.51257279338754014</v>
      </c>
      <c r="E590" s="136">
        <v>45142</v>
      </c>
      <c r="F590" s="137">
        <v>65453.55</v>
      </c>
      <c r="G590" s="139">
        <f t="shared" si="19"/>
        <v>-0.14838868529791704</v>
      </c>
    </row>
    <row r="591" spans="1:7" ht="16.2" thickBot="1" x14ac:dyDescent="0.35">
      <c r="A591" s="140">
        <v>45145</v>
      </c>
      <c r="B591" s="135">
        <v>3910.55</v>
      </c>
      <c r="C591" s="139">
        <f t="shared" si="18"/>
        <v>4.4094088748865303</v>
      </c>
      <c r="E591" s="136">
        <v>45145</v>
      </c>
      <c r="F591" s="137">
        <v>65811.399999999994</v>
      </c>
      <c r="G591" s="139">
        <f t="shared" si="19"/>
        <v>0.54672359253240088</v>
      </c>
    </row>
    <row r="592" spans="1:7" ht="16.2" thickBot="1" x14ac:dyDescent="0.35">
      <c r="A592" s="140">
        <v>45146</v>
      </c>
      <c r="B592" s="135">
        <v>3846.4</v>
      </c>
      <c r="C592" s="139">
        <f t="shared" si="18"/>
        <v>-1.6404342100216105</v>
      </c>
      <c r="E592" s="136">
        <v>45146</v>
      </c>
      <c r="F592" s="137">
        <v>66048.81</v>
      </c>
      <c r="G592" s="139">
        <f t="shared" si="19"/>
        <v>0.36074297158243634</v>
      </c>
    </row>
    <row r="593" spans="1:7" ht="16.2" thickBot="1" x14ac:dyDescent="0.35">
      <c r="A593" s="140">
        <v>45147</v>
      </c>
      <c r="B593" s="135">
        <v>3737.7</v>
      </c>
      <c r="C593" s="139">
        <f t="shared" si="18"/>
        <v>-2.8260191347753811</v>
      </c>
      <c r="E593" s="136">
        <v>45147</v>
      </c>
      <c r="F593" s="137">
        <v>65810.960000000006</v>
      </c>
      <c r="G593" s="139">
        <f t="shared" si="19"/>
        <v>-0.36011246833968891</v>
      </c>
    </row>
    <row r="594" spans="1:7" ht="16.2" thickBot="1" x14ac:dyDescent="0.35">
      <c r="A594" s="140">
        <v>45148</v>
      </c>
      <c r="B594" s="135">
        <v>3745.5</v>
      </c>
      <c r="C594" s="139">
        <f t="shared" si="18"/>
        <v>0.20868448511116949</v>
      </c>
      <c r="E594" s="136">
        <v>45148</v>
      </c>
      <c r="F594" s="137">
        <v>65945.39</v>
      </c>
      <c r="G594" s="139">
        <f t="shared" si="19"/>
        <v>0.20426688806848128</v>
      </c>
    </row>
    <row r="595" spans="1:7" ht="16.2" thickBot="1" x14ac:dyDescent="0.35">
      <c r="A595" s="140">
        <v>45149</v>
      </c>
      <c r="B595" s="135">
        <v>3679.15</v>
      </c>
      <c r="C595" s="139">
        <f t="shared" si="18"/>
        <v>-1.771459084234412</v>
      </c>
      <c r="E595" s="136">
        <v>45149</v>
      </c>
      <c r="F595" s="137">
        <v>65727.8</v>
      </c>
      <c r="G595" s="139">
        <f t="shared" si="19"/>
        <v>-0.32995483080772819</v>
      </c>
    </row>
    <row r="596" spans="1:7" ht="16.2" thickBot="1" x14ac:dyDescent="0.35">
      <c r="A596" s="134">
        <v>45152</v>
      </c>
      <c r="B596" s="135">
        <v>3730.55</v>
      </c>
      <c r="C596" s="139">
        <f t="shared" si="18"/>
        <v>1.3970618213446064</v>
      </c>
      <c r="E596" s="136">
        <v>45152</v>
      </c>
      <c r="F596" s="137">
        <v>65153.02</v>
      </c>
      <c r="G596" s="139">
        <f t="shared" si="19"/>
        <v>-0.87448537757236067</v>
      </c>
    </row>
    <row r="597" spans="1:7" ht="16.2" thickBot="1" x14ac:dyDescent="0.35">
      <c r="A597" s="134">
        <v>45154</v>
      </c>
      <c r="B597" s="135">
        <v>3712.1</v>
      </c>
      <c r="C597" s="139">
        <f t="shared" si="18"/>
        <v>-0.49456514454973854</v>
      </c>
      <c r="E597" s="136">
        <v>45154</v>
      </c>
      <c r="F597" s="137">
        <v>65238.67</v>
      </c>
      <c r="G597" s="139">
        <f t="shared" si="19"/>
        <v>0.13145975428307308</v>
      </c>
    </row>
    <row r="598" spans="1:7" ht="16.2" thickBot="1" x14ac:dyDescent="0.35">
      <c r="A598" s="134">
        <v>45155</v>
      </c>
      <c r="B598" s="135">
        <v>3654.75</v>
      </c>
      <c r="C598" s="139">
        <f t="shared" si="18"/>
        <v>-1.5449476037822234</v>
      </c>
      <c r="E598" s="136">
        <v>45155</v>
      </c>
      <c r="F598" s="137">
        <v>65503.85</v>
      </c>
      <c r="G598" s="139">
        <f t="shared" si="19"/>
        <v>0.40647671082197157</v>
      </c>
    </row>
    <row r="599" spans="1:7" ht="16.2" thickBot="1" x14ac:dyDescent="0.35">
      <c r="A599" s="134">
        <v>45156</v>
      </c>
      <c r="B599" s="135">
        <v>3654.9</v>
      </c>
      <c r="C599" s="139">
        <f t="shared" si="18"/>
        <v>4.1042478965754416E-3</v>
      </c>
      <c r="E599" s="136">
        <v>45156</v>
      </c>
      <c r="F599" s="137">
        <v>65025.71</v>
      </c>
      <c r="G599" s="139">
        <f t="shared" si="19"/>
        <v>-0.72994182784675932</v>
      </c>
    </row>
    <row r="600" spans="1:7" ht="16.2" thickBot="1" x14ac:dyDescent="0.35">
      <c r="A600" s="134">
        <v>45159</v>
      </c>
      <c r="B600" s="135">
        <v>3665.25</v>
      </c>
      <c r="C600" s="139">
        <f t="shared" si="18"/>
        <v>0.28318148239349666</v>
      </c>
      <c r="E600" s="136">
        <v>45159</v>
      </c>
      <c r="F600" s="137">
        <v>64852.7</v>
      </c>
      <c r="G600" s="139">
        <f t="shared" si="19"/>
        <v>-0.26606399222707766</v>
      </c>
    </row>
    <row r="601" spans="1:7" ht="16.2" thickBot="1" x14ac:dyDescent="0.35">
      <c r="A601" s="134">
        <v>45160</v>
      </c>
      <c r="B601" s="135">
        <v>3653.25</v>
      </c>
      <c r="C601" s="139">
        <f t="shared" si="18"/>
        <v>-0.32739922242684671</v>
      </c>
      <c r="E601" s="136">
        <v>45160</v>
      </c>
      <c r="F601" s="137">
        <v>65272.42</v>
      </c>
      <c r="G601" s="139">
        <f t="shared" si="19"/>
        <v>0.64718970836989231</v>
      </c>
    </row>
    <row r="602" spans="1:7" ht="16.2" thickBot="1" x14ac:dyDescent="0.35">
      <c r="A602" s="134">
        <v>45161</v>
      </c>
      <c r="B602" s="135">
        <v>3704.15</v>
      </c>
      <c r="C602" s="139">
        <f t="shared" si="18"/>
        <v>1.3932799562033831</v>
      </c>
      <c r="E602" s="136">
        <v>45161</v>
      </c>
      <c r="F602" s="137">
        <v>65300.93</v>
      </c>
      <c r="G602" s="139">
        <f t="shared" si="19"/>
        <v>4.3678478597855015E-2</v>
      </c>
    </row>
    <row r="603" spans="1:7" ht="16.2" thickBot="1" x14ac:dyDescent="0.35">
      <c r="A603" s="134">
        <v>45162</v>
      </c>
      <c r="B603" s="135">
        <v>3664.25</v>
      </c>
      <c r="C603" s="139">
        <f t="shared" si="18"/>
        <v>-1.0771702009907831</v>
      </c>
      <c r="E603" s="136">
        <v>45162</v>
      </c>
      <c r="F603" s="137">
        <v>65722.509999999995</v>
      </c>
      <c r="G603" s="139">
        <f t="shared" si="19"/>
        <v>0.64559570591107118</v>
      </c>
    </row>
    <row r="604" spans="1:7" ht="16.2" thickBot="1" x14ac:dyDescent="0.35">
      <c r="A604" s="134">
        <v>45163</v>
      </c>
      <c r="B604" s="135">
        <v>3636.5</v>
      </c>
      <c r="C604" s="139">
        <f t="shared" si="18"/>
        <v>-0.75731732278092379</v>
      </c>
      <c r="E604" s="136">
        <v>45163</v>
      </c>
      <c r="F604" s="137">
        <v>65000.67</v>
      </c>
      <c r="G604" s="139">
        <f t="shared" si="19"/>
        <v>-1.0983147174385099</v>
      </c>
    </row>
    <row r="605" spans="1:7" ht="16.2" thickBot="1" x14ac:dyDescent="0.35">
      <c r="A605" s="134">
        <v>45166</v>
      </c>
      <c r="B605" s="135">
        <v>3633.25</v>
      </c>
      <c r="C605" s="139">
        <f t="shared" si="18"/>
        <v>-8.9371648563178877E-2</v>
      </c>
      <c r="E605" s="136">
        <v>45166</v>
      </c>
      <c r="F605" s="137">
        <v>64908.08</v>
      </c>
      <c r="G605" s="139">
        <f t="shared" si="19"/>
        <v>-0.14244468557015874</v>
      </c>
    </row>
    <row r="606" spans="1:7" ht="16.2" thickBot="1" x14ac:dyDescent="0.35">
      <c r="A606" s="134">
        <v>45167</v>
      </c>
      <c r="B606" s="135">
        <v>3657.1</v>
      </c>
      <c r="C606" s="139">
        <f t="shared" si="18"/>
        <v>0.65643707424481967</v>
      </c>
      <c r="E606" s="136">
        <v>45167</v>
      </c>
      <c r="F606" s="137">
        <v>65201.35</v>
      </c>
      <c r="G606" s="139">
        <f t="shared" si="19"/>
        <v>0.45182356341459612</v>
      </c>
    </row>
    <row r="607" spans="1:7" ht="16.2" thickBot="1" x14ac:dyDescent="0.35">
      <c r="A607" s="134">
        <v>45168</v>
      </c>
      <c r="B607" s="135">
        <v>3630.8</v>
      </c>
      <c r="C607" s="139">
        <f t="shared" si="18"/>
        <v>-0.71914905252795192</v>
      </c>
      <c r="E607" s="136">
        <v>45168</v>
      </c>
      <c r="F607" s="137">
        <v>65311.58</v>
      </c>
      <c r="G607" s="139">
        <f t="shared" si="19"/>
        <v>0.1690609166834785</v>
      </c>
    </row>
    <row r="608" spans="1:7" ht="16.2" thickBot="1" x14ac:dyDescent="0.35">
      <c r="A608" s="134">
        <v>45169</v>
      </c>
      <c r="B608" s="135">
        <v>3592.1</v>
      </c>
      <c r="C608" s="139">
        <f t="shared" si="18"/>
        <v>-1.0658807976203666</v>
      </c>
      <c r="E608" s="136">
        <v>45169</v>
      </c>
      <c r="F608" s="137">
        <v>65178.33</v>
      </c>
      <c r="G608" s="139">
        <f t="shared" si="19"/>
        <v>-0.20402201263543157</v>
      </c>
    </row>
    <row r="609" spans="1:7" ht="16.2" thickBot="1" x14ac:dyDescent="0.35">
      <c r="A609" s="140">
        <v>45170</v>
      </c>
      <c r="B609" s="135">
        <v>3589.3</v>
      </c>
      <c r="C609" s="139">
        <f t="shared" si="18"/>
        <v>-7.7948832159453446E-2</v>
      </c>
      <c r="E609" s="136">
        <v>45170</v>
      </c>
      <c r="F609" s="137">
        <v>64855.51</v>
      </c>
      <c r="G609" s="139">
        <f t="shared" si="19"/>
        <v>-0.4952873140505436</v>
      </c>
    </row>
    <row r="610" spans="1:7" ht="16.2" thickBot="1" x14ac:dyDescent="0.35">
      <c r="A610" s="140">
        <v>45173</v>
      </c>
      <c r="B610" s="135">
        <v>3629.35</v>
      </c>
      <c r="C610" s="139">
        <f t="shared" si="18"/>
        <v>1.1158164544618649</v>
      </c>
      <c r="E610" s="136">
        <v>45173</v>
      </c>
      <c r="F610" s="137">
        <v>65525.91</v>
      </c>
      <c r="G610" s="139">
        <f t="shared" si="19"/>
        <v>1.0336824118721777</v>
      </c>
    </row>
    <row r="611" spans="1:7" ht="16.2" thickBot="1" x14ac:dyDescent="0.35">
      <c r="A611" s="140">
        <v>45174</v>
      </c>
      <c r="B611" s="135">
        <v>3642.3</v>
      </c>
      <c r="C611" s="139">
        <f t="shared" si="18"/>
        <v>0.35681320346619294</v>
      </c>
      <c r="E611" s="136">
        <v>45174</v>
      </c>
      <c r="F611" s="137">
        <v>65671.600000000006</v>
      </c>
      <c r="G611" s="139">
        <f t="shared" si="19"/>
        <v>0.22233952950825456</v>
      </c>
    </row>
    <row r="612" spans="1:7" ht="16.2" thickBot="1" x14ac:dyDescent="0.35">
      <c r="A612" s="140">
        <v>45175</v>
      </c>
      <c r="B612" s="135">
        <v>3707.95</v>
      </c>
      <c r="C612" s="139">
        <f t="shared" si="18"/>
        <v>1.8024325288965661</v>
      </c>
      <c r="E612" s="136">
        <v>45175</v>
      </c>
      <c r="F612" s="137">
        <v>65744.19</v>
      </c>
      <c r="G612" s="139">
        <f t="shared" si="19"/>
        <v>0.11053484306762207</v>
      </c>
    </row>
    <row r="613" spans="1:7" ht="16.2" thickBot="1" x14ac:dyDescent="0.35">
      <c r="A613" s="140">
        <v>45176</v>
      </c>
      <c r="B613" s="135">
        <v>3694</v>
      </c>
      <c r="C613" s="139">
        <f t="shared" si="18"/>
        <v>-0.37621866530022841</v>
      </c>
      <c r="E613" s="136">
        <v>45176</v>
      </c>
      <c r="F613" s="137">
        <v>65854.25</v>
      </c>
      <c r="G613" s="139">
        <f t="shared" si="19"/>
        <v>0.16740642785316492</v>
      </c>
    </row>
    <row r="614" spans="1:7" ht="16.2" thickBot="1" x14ac:dyDescent="0.35">
      <c r="A614" s="140">
        <v>45177</v>
      </c>
      <c r="B614" s="135">
        <v>3698.8</v>
      </c>
      <c r="C614" s="139">
        <f t="shared" si="18"/>
        <v>0.12994044396318846</v>
      </c>
      <c r="E614" s="136">
        <v>45177</v>
      </c>
      <c r="F614" s="137">
        <v>66381.429999999993</v>
      </c>
      <c r="G614" s="139">
        <f t="shared" si="19"/>
        <v>0.80052540268850236</v>
      </c>
    </row>
    <row r="615" spans="1:7" ht="16.2" thickBot="1" x14ac:dyDescent="0.35">
      <c r="A615" s="140">
        <v>45180</v>
      </c>
      <c r="B615" s="135">
        <v>3736.25</v>
      </c>
      <c r="C615" s="139">
        <f t="shared" si="18"/>
        <v>1.0124905374716073</v>
      </c>
      <c r="E615" s="136">
        <v>45180</v>
      </c>
      <c r="F615" s="137">
        <v>66807.73</v>
      </c>
      <c r="G615" s="139">
        <f t="shared" si="19"/>
        <v>0.64219767486178436</v>
      </c>
    </row>
    <row r="616" spans="1:7" ht="16.2" thickBot="1" x14ac:dyDescent="0.35">
      <c r="A616" s="140">
        <v>45181</v>
      </c>
      <c r="B616" s="135">
        <v>3787.8</v>
      </c>
      <c r="C616" s="139">
        <f t="shared" si="18"/>
        <v>1.3797256607561106</v>
      </c>
      <c r="E616" s="136">
        <v>45181</v>
      </c>
      <c r="F616" s="137">
        <v>67506.880000000005</v>
      </c>
      <c r="G616" s="139">
        <f t="shared" si="19"/>
        <v>1.0465106358201495</v>
      </c>
    </row>
    <row r="617" spans="1:7" ht="16.2" thickBot="1" x14ac:dyDescent="0.35">
      <c r="A617" s="134">
        <v>45182</v>
      </c>
      <c r="B617" s="135">
        <v>3750.85</v>
      </c>
      <c r="C617" s="139">
        <f t="shared" si="18"/>
        <v>-0.97550029040604758</v>
      </c>
      <c r="E617" s="136">
        <v>45182</v>
      </c>
      <c r="F617" s="137">
        <v>67188.639999999999</v>
      </c>
      <c r="G617" s="139">
        <f t="shared" si="19"/>
        <v>-0.47141861688764941</v>
      </c>
    </row>
    <row r="618" spans="1:7" ht="16.2" thickBot="1" x14ac:dyDescent="0.35">
      <c r="A618" s="134">
        <v>45183</v>
      </c>
      <c r="B618" s="135">
        <v>3817.9</v>
      </c>
      <c r="C618" s="139">
        <f t="shared" si="18"/>
        <v>1.7875948118426539</v>
      </c>
      <c r="E618" s="136">
        <v>45183</v>
      </c>
      <c r="F618" s="137">
        <v>67627.03</v>
      </c>
      <c r="G618" s="139">
        <f t="shared" si="19"/>
        <v>0.65247637100557387</v>
      </c>
    </row>
    <row r="619" spans="1:7" ht="16.2" thickBot="1" x14ac:dyDescent="0.35">
      <c r="A619" s="134">
        <v>45184</v>
      </c>
      <c r="B619" s="135">
        <v>3815.5</v>
      </c>
      <c r="C619" s="139">
        <f t="shared" si="18"/>
        <v>-6.2861782655388859E-2</v>
      </c>
      <c r="E619" s="136">
        <v>45184</v>
      </c>
      <c r="F619" s="137">
        <v>67659.91</v>
      </c>
      <c r="G619" s="139">
        <f t="shared" si="19"/>
        <v>4.8619612601654483E-2</v>
      </c>
    </row>
    <row r="620" spans="1:7" ht="16.2" thickBot="1" x14ac:dyDescent="0.35">
      <c r="A620" s="134">
        <v>45187</v>
      </c>
      <c r="B620" s="135">
        <v>3785.3</v>
      </c>
      <c r="C620" s="139">
        <f t="shared" si="18"/>
        <v>-0.79150832132092297</v>
      </c>
      <c r="E620" s="136">
        <v>45187</v>
      </c>
      <c r="F620" s="137">
        <v>67665.58</v>
      </c>
      <c r="G620" s="139">
        <f t="shared" si="19"/>
        <v>8.3801471210917262E-3</v>
      </c>
    </row>
    <row r="621" spans="1:7" ht="16.2" thickBot="1" x14ac:dyDescent="0.35">
      <c r="A621" s="134">
        <v>45189</v>
      </c>
      <c r="B621" s="135">
        <v>3779.6</v>
      </c>
      <c r="C621" s="139">
        <f t="shared" si="18"/>
        <v>-0.15058251657729302</v>
      </c>
      <c r="E621" s="136">
        <v>45189</v>
      </c>
      <c r="F621" s="137">
        <v>67080.179999999993</v>
      </c>
      <c r="G621" s="139">
        <f t="shared" si="19"/>
        <v>-0.86513704604321529</v>
      </c>
    </row>
    <row r="622" spans="1:7" ht="16.2" thickBot="1" x14ac:dyDescent="0.35">
      <c r="A622" s="134">
        <v>45190</v>
      </c>
      <c r="B622" s="135">
        <v>3746.8</v>
      </c>
      <c r="C622" s="139">
        <f t="shared" si="18"/>
        <v>-0.86781670017990598</v>
      </c>
      <c r="E622" s="136">
        <v>45190</v>
      </c>
      <c r="F622" s="137">
        <v>66608.67</v>
      </c>
      <c r="G622" s="139">
        <f t="shared" si="19"/>
        <v>-0.7029050905945613</v>
      </c>
    </row>
    <row r="623" spans="1:7" ht="16.2" thickBot="1" x14ac:dyDescent="0.35">
      <c r="A623" s="134">
        <v>45191</v>
      </c>
      <c r="B623" s="135">
        <v>3705.05</v>
      </c>
      <c r="C623" s="139">
        <f t="shared" si="18"/>
        <v>-1.1142841891747624</v>
      </c>
      <c r="E623" s="136">
        <v>45191</v>
      </c>
      <c r="F623" s="137">
        <v>66215.039999999994</v>
      </c>
      <c r="G623" s="139">
        <f t="shared" si="19"/>
        <v>-0.59095910487329151</v>
      </c>
    </row>
    <row r="624" spans="1:7" ht="16.2" thickBot="1" x14ac:dyDescent="0.35">
      <c r="A624" s="134">
        <v>45194</v>
      </c>
      <c r="B624" s="135">
        <v>3728.5</v>
      </c>
      <c r="C624" s="139">
        <f t="shared" si="18"/>
        <v>0.63291993360413001</v>
      </c>
      <c r="E624" s="136">
        <v>45194</v>
      </c>
      <c r="F624" s="137">
        <v>66082.990000000005</v>
      </c>
      <c r="G624" s="139">
        <f t="shared" si="19"/>
        <v>-0.1994259914363691</v>
      </c>
    </row>
    <row r="625" spans="1:7" ht="16.2" thickBot="1" x14ac:dyDescent="0.35">
      <c r="A625" s="134">
        <v>45195</v>
      </c>
      <c r="B625" s="135">
        <v>3753.8</v>
      </c>
      <c r="C625" s="139">
        <f t="shared" si="18"/>
        <v>0.67855706048009068</v>
      </c>
      <c r="E625" s="136">
        <v>45195</v>
      </c>
      <c r="F625" s="137">
        <v>66071.63</v>
      </c>
      <c r="G625" s="139">
        <f t="shared" si="19"/>
        <v>-1.7190505453824927E-2</v>
      </c>
    </row>
    <row r="626" spans="1:7" ht="16.2" thickBot="1" x14ac:dyDescent="0.35">
      <c r="A626" s="134">
        <v>45196</v>
      </c>
      <c r="B626" s="135">
        <v>3768</v>
      </c>
      <c r="C626" s="139">
        <f t="shared" si="18"/>
        <v>0.37828333954925186</v>
      </c>
      <c r="E626" s="136">
        <v>45196</v>
      </c>
      <c r="F626" s="137">
        <v>65925.64</v>
      </c>
      <c r="G626" s="139">
        <f t="shared" si="19"/>
        <v>-0.22095716421708564</v>
      </c>
    </row>
    <row r="627" spans="1:7" ht="16.2" thickBot="1" x14ac:dyDescent="0.35">
      <c r="A627" s="134">
        <v>45197</v>
      </c>
      <c r="B627" s="135">
        <v>3665</v>
      </c>
      <c r="C627" s="139">
        <f t="shared" si="18"/>
        <v>-2.7335456475583864</v>
      </c>
      <c r="E627" s="136">
        <v>45197</v>
      </c>
      <c r="F627" s="137">
        <v>66406.009999999995</v>
      </c>
      <c r="G627" s="139">
        <f t="shared" si="19"/>
        <v>0.72865428382643738</v>
      </c>
    </row>
    <row r="628" spans="1:7" ht="16.2" thickBot="1" x14ac:dyDescent="0.35">
      <c r="A628" s="134">
        <v>45198</v>
      </c>
      <c r="B628" s="135">
        <v>3765.15</v>
      </c>
      <c r="C628" s="139">
        <f t="shared" si="18"/>
        <v>2.7326057298772195</v>
      </c>
      <c r="E628" s="136">
        <v>45198</v>
      </c>
      <c r="F628" s="137">
        <v>65743.929999999993</v>
      </c>
      <c r="G628" s="139">
        <f t="shared" si="19"/>
        <v>-0.99701819157633742</v>
      </c>
    </row>
    <row r="629" spans="1:7" ht="16.2" thickBot="1" x14ac:dyDescent="0.35">
      <c r="A629" s="140">
        <v>45202</v>
      </c>
      <c r="B629" s="135">
        <v>3724.45</v>
      </c>
      <c r="C629" s="139">
        <f t="shared" si="18"/>
        <v>-1.0809662297650897</v>
      </c>
      <c r="E629" s="136">
        <v>45202</v>
      </c>
      <c r="F629" s="137">
        <v>65813.42</v>
      </c>
      <c r="G629" s="139">
        <f t="shared" si="19"/>
        <v>0.10569797090013518</v>
      </c>
    </row>
    <row r="630" spans="1:7" ht="16.2" thickBot="1" x14ac:dyDescent="0.35">
      <c r="A630" s="140">
        <v>45203</v>
      </c>
      <c r="B630" s="135">
        <v>3707.75</v>
      </c>
      <c r="C630" s="139">
        <f t="shared" si="18"/>
        <v>-0.44838835264266724</v>
      </c>
      <c r="E630" s="136">
        <v>45203</v>
      </c>
      <c r="F630" s="137">
        <v>65330.65</v>
      </c>
      <c r="G630" s="139">
        <f t="shared" si="19"/>
        <v>-0.73354340193838397</v>
      </c>
    </row>
    <row r="631" spans="1:7" ht="16.2" thickBot="1" x14ac:dyDescent="0.35">
      <c r="A631" s="140">
        <v>45204</v>
      </c>
      <c r="B631" s="135">
        <v>3697.2</v>
      </c>
      <c r="C631" s="139">
        <f t="shared" si="18"/>
        <v>-0.28453914098847499</v>
      </c>
      <c r="E631" s="136">
        <v>45204</v>
      </c>
      <c r="F631" s="137">
        <v>65598.259999999995</v>
      </c>
      <c r="G631" s="139">
        <f t="shared" si="19"/>
        <v>0.40962396669862206</v>
      </c>
    </row>
    <row r="632" spans="1:7" ht="16.2" thickBot="1" x14ac:dyDescent="0.35">
      <c r="A632" s="140">
        <v>45205</v>
      </c>
      <c r="B632" s="135">
        <v>3721.8</v>
      </c>
      <c r="C632" s="139">
        <f t="shared" si="18"/>
        <v>0.66536838688738409</v>
      </c>
      <c r="E632" s="136">
        <v>45205</v>
      </c>
      <c r="F632" s="137">
        <v>65867.539999999994</v>
      </c>
      <c r="G632" s="139">
        <f t="shared" si="19"/>
        <v>0.41049869310557757</v>
      </c>
    </row>
    <row r="633" spans="1:7" ht="16.2" thickBot="1" x14ac:dyDescent="0.35">
      <c r="A633" s="140">
        <v>45208</v>
      </c>
      <c r="B633" s="135">
        <v>3705.3</v>
      </c>
      <c r="C633" s="139">
        <f t="shared" si="18"/>
        <v>-0.44333387070772207</v>
      </c>
      <c r="E633" s="136">
        <v>45208</v>
      </c>
      <c r="F633" s="137">
        <v>65560.070000000007</v>
      </c>
      <c r="G633" s="139">
        <f t="shared" si="19"/>
        <v>-0.46680049080318875</v>
      </c>
    </row>
    <row r="634" spans="1:7" ht="16.2" thickBot="1" x14ac:dyDescent="0.35">
      <c r="A634" s="140">
        <v>45209</v>
      </c>
      <c r="B634" s="135">
        <v>3713.65</v>
      </c>
      <c r="C634" s="139">
        <f t="shared" si="18"/>
        <v>0.22535287291177258</v>
      </c>
      <c r="E634" s="136">
        <v>45209</v>
      </c>
      <c r="F634" s="137">
        <v>65662.27</v>
      </c>
      <c r="G634" s="139">
        <f t="shared" si="19"/>
        <v>0.15588756997971032</v>
      </c>
    </row>
    <row r="635" spans="1:7" ht="16.2" thickBot="1" x14ac:dyDescent="0.35">
      <c r="A635" s="140">
        <v>45210</v>
      </c>
      <c r="B635" s="135">
        <v>3750.55</v>
      </c>
      <c r="C635" s="139">
        <f t="shared" si="18"/>
        <v>0.99363160233194003</v>
      </c>
      <c r="E635" s="136">
        <v>45210</v>
      </c>
      <c r="F635" s="137">
        <v>66376.42</v>
      </c>
      <c r="G635" s="139">
        <f t="shared" si="19"/>
        <v>1.0876108913078912</v>
      </c>
    </row>
    <row r="636" spans="1:7" ht="16.2" thickBot="1" x14ac:dyDescent="0.35">
      <c r="A636" s="140">
        <v>45211</v>
      </c>
      <c r="B636" s="135">
        <v>3755.25</v>
      </c>
      <c r="C636" s="139">
        <f t="shared" si="18"/>
        <v>0.12531495380677016</v>
      </c>
      <c r="E636" s="136">
        <v>45211</v>
      </c>
      <c r="F636" s="137">
        <v>66564.570000000007</v>
      </c>
      <c r="G636" s="139">
        <f t="shared" si="19"/>
        <v>0.28345909586568352</v>
      </c>
    </row>
    <row r="637" spans="1:7" ht="16.2" thickBot="1" x14ac:dyDescent="0.35">
      <c r="A637" s="134">
        <v>45212</v>
      </c>
      <c r="B637" s="135">
        <v>3735.35</v>
      </c>
      <c r="C637" s="139">
        <f t="shared" si="18"/>
        <v>-0.52992477198588883</v>
      </c>
      <c r="E637" s="136">
        <v>45212</v>
      </c>
      <c r="F637" s="137">
        <v>66034.210000000006</v>
      </c>
      <c r="G637" s="139">
        <f t="shared" si="19"/>
        <v>-0.79676019840584944</v>
      </c>
    </row>
    <row r="638" spans="1:7" ht="16.2" thickBot="1" x14ac:dyDescent="0.35">
      <c r="A638" s="134">
        <v>45215</v>
      </c>
      <c r="B638" s="135">
        <v>3655.2</v>
      </c>
      <c r="C638" s="139">
        <f t="shared" si="18"/>
        <v>-2.1457159302341169</v>
      </c>
      <c r="E638" s="136">
        <v>45215</v>
      </c>
      <c r="F638" s="137">
        <v>66238.149999999994</v>
      </c>
      <c r="G638" s="139">
        <f t="shared" si="19"/>
        <v>0.3088399179758306</v>
      </c>
    </row>
    <row r="639" spans="1:7" ht="16.2" thickBot="1" x14ac:dyDescent="0.35">
      <c r="A639" s="134">
        <v>45216</v>
      </c>
      <c r="B639" s="135">
        <v>3646.6</v>
      </c>
      <c r="C639" s="139">
        <f t="shared" si="18"/>
        <v>-0.23528124316042651</v>
      </c>
      <c r="E639" s="136">
        <v>45216</v>
      </c>
      <c r="F639" s="137">
        <v>66558.149999999994</v>
      </c>
      <c r="G639" s="139">
        <f t="shared" si="19"/>
        <v>0.48310527996328406</v>
      </c>
    </row>
    <row r="640" spans="1:7" ht="16.2" thickBot="1" x14ac:dyDescent="0.35">
      <c r="A640" s="134">
        <v>45217</v>
      </c>
      <c r="B640" s="135">
        <v>3641.2</v>
      </c>
      <c r="C640" s="139">
        <f t="shared" si="18"/>
        <v>-0.14808314594416966</v>
      </c>
      <c r="E640" s="136">
        <v>45217</v>
      </c>
      <c r="F640" s="137">
        <v>66473.740000000005</v>
      </c>
      <c r="G640" s="139">
        <f t="shared" si="19"/>
        <v>-0.12682143358850712</v>
      </c>
    </row>
    <row r="641" spans="1:7" ht="16.2" thickBot="1" x14ac:dyDescent="0.35">
      <c r="A641" s="134">
        <v>45218</v>
      </c>
      <c r="B641" s="135">
        <v>3637.75</v>
      </c>
      <c r="C641" s="139">
        <f t="shared" si="18"/>
        <v>-9.474898385147254E-2</v>
      </c>
      <c r="E641" s="136">
        <v>45218</v>
      </c>
      <c r="F641" s="137">
        <v>65484.61</v>
      </c>
      <c r="G641" s="139">
        <f t="shared" si="19"/>
        <v>-1.4880011264598692</v>
      </c>
    </row>
    <row r="642" spans="1:7" ht="16.2" thickBot="1" x14ac:dyDescent="0.35">
      <c r="A642" s="134">
        <v>45219</v>
      </c>
      <c r="B642" s="135">
        <v>3554.3</v>
      </c>
      <c r="C642" s="139">
        <f t="shared" si="18"/>
        <v>-2.2940004123427893</v>
      </c>
      <c r="E642" s="136">
        <v>45219</v>
      </c>
      <c r="F642" s="137">
        <v>65437.07</v>
      </c>
      <c r="G642" s="139">
        <f t="shared" si="19"/>
        <v>-7.2597210245278807E-2</v>
      </c>
    </row>
    <row r="643" spans="1:7" ht="16.2" thickBot="1" x14ac:dyDescent="0.35">
      <c r="A643" s="134">
        <v>45222</v>
      </c>
      <c r="B643" s="135">
        <v>3500.95</v>
      </c>
      <c r="C643" s="139">
        <f t="shared" si="18"/>
        <v>-1.5009987901977988</v>
      </c>
      <c r="E643" s="136">
        <v>45222</v>
      </c>
      <c r="F643" s="137">
        <v>65419.02</v>
      </c>
      <c r="G643" s="139">
        <f t="shared" si="19"/>
        <v>-2.758375336793489E-2</v>
      </c>
    </row>
    <row r="644" spans="1:7" ht="16.2" thickBot="1" x14ac:dyDescent="0.35">
      <c r="A644" s="134">
        <v>45224</v>
      </c>
      <c r="B644" s="135">
        <v>3443.45</v>
      </c>
      <c r="C644" s="139">
        <f t="shared" si="18"/>
        <v>-1.642411345491938</v>
      </c>
      <c r="E644" s="136">
        <v>45224</v>
      </c>
      <c r="F644" s="137">
        <v>64619.27</v>
      </c>
      <c r="G644" s="139">
        <f t="shared" si="19"/>
        <v>-1.2225037917107289</v>
      </c>
    </row>
    <row r="645" spans="1:7" ht="16.2" thickBot="1" x14ac:dyDescent="0.35">
      <c r="A645" s="134">
        <v>45225</v>
      </c>
      <c r="B645" s="135">
        <v>3406.4</v>
      </c>
      <c r="C645" s="139">
        <f t="shared" si="18"/>
        <v>-1.0759558001422913</v>
      </c>
      <c r="E645" s="136">
        <v>45225</v>
      </c>
      <c r="F645" s="137">
        <v>63774.16</v>
      </c>
      <c r="G645" s="139">
        <f t="shared" si="19"/>
        <v>-1.3078296922883736</v>
      </c>
    </row>
    <row r="646" spans="1:7" ht="16.2" thickBot="1" x14ac:dyDescent="0.35">
      <c r="A646" s="134">
        <v>45226</v>
      </c>
      <c r="B646" s="135">
        <v>3411.95</v>
      </c>
      <c r="C646" s="139">
        <f t="shared" si="18"/>
        <v>0.16292860497885531</v>
      </c>
      <c r="E646" s="136">
        <v>45226</v>
      </c>
      <c r="F646" s="137">
        <v>63559.32</v>
      </c>
      <c r="G646" s="139">
        <f t="shared" si="19"/>
        <v>-0.33687625207451383</v>
      </c>
    </row>
    <row r="647" spans="1:7" ht="16.2" thickBot="1" x14ac:dyDescent="0.35">
      <c r="A647" s="134">
        <v>45229</v>
      </c>
      <c r="B647" s="135">
        <v>3403.4</v>
      </c>
      <c r="C647" s="139">
        <f t="shared" si="18"/>
        <v>-0.25058983865530643</v>
      </c>
      <c r="E647" s="136">
        <v>45229</v>
      </c>
      <c r="F647" s="137">
        <v>63885.56</v>
      </c>
      <c r="G647" s="139">
        <f t="shared" si="19"/>
        <v>0.51328428309176055</v>
      </c>
    </row>
    <row r="648" spans="1:7" ht="16.2" thickBot="1" x14ac:dyDescent="0.35">
      <c r="A648" s="134">
        <v>45230</v>
      </c>
      <c r="B648" s="135">
        <v>3388.35</v>
      </c>
      <c r="C648" s="139">
        <f t="shared" ref="C648:C711" si="20">(B648-B647)/B647*100</f>
        <v>-0.44220485396956516</v>
      </c>
      <c r="E648" s="136">
        <v>45230</v>
      </c>
      <c r="F648" s="137">
        <v>64449.65</v>
      </c>
      <c r="G648" s="139">
        <f t="shared" ref="G648:G711" si="21">(F648-F647)/F647*100</f>
        <v>0.88296948481003179</v>
      </c>
    </row>
    <row r="649" spans="1:7" ht="16.2" thickBot="1" x14ac:dyDescent="0.35">
      <c r="A649" s="140">
        <v>45231</v>
      </c>
      <c r="B649" s="135">
        <v>3346.05</v>
      </c>
      <c r="C649" s="139">
        <f t="shared" si="20"/>
        <v>-1.2483952366195856</v>
      </c>
      <c r="E649" s="136">
        <v>45231</v>
      </c>
      <c r="F649" s="137">
        <v>63829.87</v>
      </c>
      <c r="G649" s="139">
        <f t="shared" si="21"/>
        <v>-0.96164990810655893</v>
      </c>
    </row>
    <row r="650" spans="1:7" ht="16.2" thickBot="1" x14ac:dyDescent="0.35">
      <c r="A650" s="140">
        <v>45232</v>
      </c>
      <c r="B650" s="135">
        <v>3343.7</v>
      </c>
      <c r="C650" s="139">
        <f t="shared" si="20"/>
        <v>-7.0232064673282343E-2</v>
      </c>
      <c r="E650" s="136">
        <v>45232</v>
      </c>
      <c r="F650" s="137">
        <v>64033.4</v>
      </c>
      <c r="G650" s="139">
        <f t="shared" si="21"/>
        <v>0.31886325320731318</v>
      </c>
    </row>
    <row r="651" spans="1:7" ht="16.2" thickBot="1" x14ac:dyDescent="0.35">
      <c r="A651" s="140">
        <v>45233</v>
      </c>
      <c r="B651" s="135">
        <v>3350.7</v>
      </c>
      <c r="C651" s="139">
        <f t="shared" si="20"/>
        <v>0.20934892484373602</v>
      </c>
      <c r="E651" s="136">
        <v>45233</v>
      </c>
      <c r="F651" s="137">
        <v>64444.9</v>
      </c>
      <c r="G651" s="139">
        <f t="shared" si="21"/>
        <v>0.64263337570705292</v>
      </c>
    </row>
    <row r="652" spans="1:7" ht="16.2" thickBot="1" x14ac:dyDescent="0.35">
      <c r="A652" s="140">
        <v>45236</v>
      </c>
      <c r="B652" s="135">
        <v>3506.7</v>
      </c>
      <c r="C652" s="139">
        <f t="shared" si="20"/>
        <v>4.6557435759692005</v>
      </c>
      <c r="E652" s="136">
        <v>45236</v>
      </c>
      <c r="F652" s="137">
        <v>64835.23</v>
      </c>
      <c r="G652" s="139">
        <f t="shared" si="21"/>
        <v>0.6056802012261665</v>
      </c>
    </row>
    <row r="653" spans="1:7" ht="16.2" thickBot="1" x14ac:dyDescent="0.35">
      <c r="A653" s="140">
        <v>45237</v>
      </c>
      <c r="B653" s="135">
        <v>3481.4</v>
      </c>
      <c r="C653" s="139">
        <f t="shared" si="20"/>
        <v>-0.72147603159665008</v>
      </c>
      <c r="E653" s="136">
        <v>45237</v>
      </c>
      <c r="F653" s="137">
        <v>65021.29</v>
      </c>
      <c r="G653" s="139">
        <f t="shared" si="21"/>
        <v>0.28697360987228343</v>
      </c>
    </row>
    <row r="654" spans="1:7" ht="16.2" thickBot="1" x14ac:dyDescent="0.35">
      <c r="A654" s="140">
        <v>45238</v>
      </c>
      <c r="B654" s="135">
        <v>3490.9</v>
      </c>
      <c r="C654" s="139">
        <f t="shared" si="20"/>
        <v>0.27287872694892856</v>
      </c>
      <c r="E654" s="136">
        <v>45238</v>
      </c>
      <c r="F654" s="137">
        <v>65101.95</v>
      </c>
      <c r="G654" s="139">
        <f t="shared" si="21"/>
        <v>0.12405167599719448</v>
      </c>
    </row>
    <row r="655" spans="1:7" ht="16.2" thickBot="1" x14ac:dyDescent="0.35">
      <c r="A655" s="140">
        <v>45239</v>
      </c>
      <c r="B655" s="135">
        <v>3498.5</v>
      </c>
      <c r="C655" s="139">
        <f t="shared" si="20"/>
        <v>0.21770890028359186</v>
      </c>
      <c r="E655" s="136">
        <v>45239</v>
      </c>
      <c r="F655" s="137">
        <v>65025.32</v>
      </c>
      <c r="G655" s="139">
        <f t="shared" si="21"/>
        <v>-0.11770768771134717</v>
      </c>
    </row>
    <row r="656" spans="1:7" ht="16.2" thickBot="1" x14ac:dyDescent="0.35">
      <c r="A656" s="140">
        <v>45240</v>
      </c>
      <c r="B656" s="135">
        <v>3493.2</v>
      </c>
      <c r="C656" s="139">
        <f t="shared" si="20"/>
        <v>-0.15149349721309652</v>
      </c>
      <c r="E656" s="136">
        <v>45240</v>
      </c>
      <c r="F656" s="137">
        <v>64756.11</v>
      </c>
      <c r="G656" s="139">
        <f t="shared" si="21"/>
        <v>-0.41400795874591489</v>
      </c>
    </row>
    <row r="657" spans="1:7" ht="16.2" thickBot="1" x14ac:dyDescent="0.35">
      <c r="A657" s="140">
        <v>45242</v>
      </c>
      <c r="B657" s="135">
        <v>3516.9</v>
      </c>
      <c r="C657" s="139">
        <f t="shared" si="20"/>
        <v>0.67846100996222014</v>
      </c>
      <c r="E657" s="136">
        <v>45242</v>
      </c>
      <c r="F657" s="137">
        <v>65418.98</v>
      </c>
      <c r="G657" s="139">
        <f t="shared" si="21"/>
        <v>1.0236408579823628</v>
      </c>
    </row>
    <row r="658" spans="1:7" ht="16.2" thickBot="1" x14ac:dyDescent="0.35">
      <c r="A658" s="134">
        <v>45243</v>
      </c>
      <c r="B658" s="135">
        <v>3510</v>
      </c>
      <c r="C658" s="139">
        <f t="shared" si="20"/>
        <v>-0.19619551309392053</v>
      </c>
      <c r="E658" s="136">
        <v>45243</v>
      </c>
      <c r="F658" s="137">
        <v>65158.31</v>
      </c>
      <c r="G658" s="139">
        <f t="shared" si="21"/>
        <v>-0.39846234227437588</v>
      </c>
    </row>
    <row r="659" spans="1:7" ht="16.2" thickBot="1" x14ac:dyDescent="0.35">
      <c r="A659" s="134">
        <v>45245</v>
      </c>
      <c r="B659" s="135">
        <v>3536.85</v>
      </c>
      <c r="C659" s="139">
        <f t="shared" si="20"/>
        <v>0.76495726495726235</v>
      </c>
      <c r="E659" s="136">
        <v>45245</v>
      </c>
      <c r="F659" s="137">
        <v>65461.54</v>
      </c>
      <c r="G659" s="139">
        <f t="shared" si="21"/>
        <v>0.46537425540963728</v>
      </c>
    </row>
    <row r="660" spans="1:7" ht="16.2" thickBot="1" x14ac:dyDescent="0.35">
      <c r="A660" s="134">
        <v>45246</v>
      </c>
      <c r="B660" s="135">
        <v>3548.25</v>
      </c>
      <c r="C660" s="139">
        <f t="shared" si="20"/>
        <v>0.3223207091055626</v>
      </c>
      <c r="E660" s="136">
        <v>45246</v>
      </c>
      <c r="F660" s="137">
        <v>65665.87</v>
      </c>
      <c r="G660" s="139">
        <f t="shared" si="21"/>
        <v>0.31213747797560898</v>
      </c>
    </row>
    <row r="661" spans="1:7" ht="16.2" thickBot="1" x14ac:dyDescent="0.35">
      <c r="A661" s="134">
        <v>45247</v>
      </c>
      <c r="B661" s="135">
        <v>3600.85</v>
      </c>
      <c r="C661" s="139">
        <f t="shared" si="20"/>
        <v>1.482420911717041</v>
      </c>
      <c r="E661" s="136">
        <v>45247</v>
      </c>
      <c r="F661" s="137">
        <v>65788.789999999994</v>
      </c>
      <c r="G661" s="139">
        <f t="shared" si="21"/>
        <v>0.1871900882452304</v>
      </c>
    </row>
    <row r="662" spans="1:7" ht="16.2" thickBot="1" x14ac:dyDescent="0.35">
      <c r="A662" s="134">
        <v>45250</v>
      </c>
      <c r="B662" s="135">
        <v>3672.95</v>
      </c>
      <c r="C662" s="139">
        <f t="shared" si="20"/>
        <v>2.00230501131677</v>
      </c>
      <c r="E662" s="136">
        <v>45250</v>
      </c>
      <c r="F662" s="137">
        <v>65787.509999999995</v>
      </c>
      <c r="G662" s="139">
        <f t="shared" si="21"/>
        <v>-1.9456202188835453E-3</v>
      </c>
    </row>
    <row r="663" spans="1:7" ht="16.2" thickBot="1" x14ac:dyDescent="0.35">
      <c r="A663" s="134">
        <v>45251</v>
      </c>
      <c r="B663" s="135">
        <v>3721.6</v>
      </c>
      <c r="C663" s="139">
        <f t="shared" si="20"/>
        <v>1.324548387535907</v>
      </c>
      <c r="E663" s="136">
        <v>45251</v>
      </c>
      <c r="F663" s="137">
        <v>65860.460000000006</v>
      </c>
      <c r="G663" s="139">
        <f t="shared" si="21"/>
        <v>0.11088730976443956</v>
      </c>
    </row>
    <row r="664" spans="1:7" ht="16.2" thickBot="1" x14ac:dyDescent="0.35">
      <c r="A664" s="134">
        <v>45252</v>
      </c>
      <c r="B664" s="135">
        <v>3701.7</v>
      </c>
      <c r="C664" s="139">
        <f t="shared" si="20"/>
        <v>-0.53471625107480891</v>
      </c>
      <c r="E664" s="136">
        <v>45252</v>
      </c>
      <c r="F664" s="137">
        <v>65839.62</v>
      </c>
      <c r="G664" s="139">
        <f t="shared" si="21"/>
        <v>-3.1642657825364504E-2</v>
      </c>
    </row>
    <row r="665" spans="1:7" ht="16.2" thickBot="1" x14ac:dyDescent="0.35">
      <c r="A665" s="134">
        <v>45253</v>
      </c>
      <c r="B665" s="135">
        <v>3688.5</v>
      </c>
      <c r="C665" s="139">
        <f t="shared" si="20"/>
        <v>-0.35659291676796662</v>
      </c>
      <c r="E665" s="136">
        <v>45253</v>
      </c>
      <c r="F665" s="137">
        <v>66084.37</v>
      </c>
      <c r="G665" s="139">
        <f t="shared" si="21"/>
        <v>0.37173665340109802</v>
      </c>
    </row>
    <row r="666" spans="1:7" ht="16.2" thickBot="1" x14ac:dyDescent="0.35">
      <c r="A666" s="134">
        <v>45254</v>
      </c>
      <c r="B666" s="135">
        <v>3764.8</v>
      </c>
      <c r="C666" s="139">
        <f t="shared" si="20"/>
        <v>2.0685915683882388</v>
      </c>
      <c r="E666" s="136">
        <v>45254</v>
      </c>
      <c r="F666" s="137">
        <v>66000.289999999994</v>
      </c>
      <c r="G666" s="139">
        <f t="shared" si="21"/>
        <v>-0.12723129538800437</v>
      </c>
    </row>
    <row r="667" spans="1:7" ht="16.2" thickBot="1" x14ac:dyDescent="0.35">
      <c r="A667" s="134">
        <v>45258</v>
      </c>
      <c r="B667" s="135">
        <v>3760.15</v>
      </c>
      <c r="C667" s="139">
        <f t="shared" si="20"/>
        <v>-0.12351253718657276</v>
      </c>
      <c r="E667" s="136">
        <v>45258</v>
      </c>
      <c r="F667" s="137">
        <v>66063.72</v>
      </c>
      <c r="G667" s="139">
        <f t="shared" si="21"/>
        <v>9.6105638323721876E-2</v>
      </c>
    </row>
    <row r="668" spans="1:7" ht="16.2" thickBot="1" x14ac:dyDescent="0.35">
      <c r="A668" s="134">
        <v>45259</v>
      </c>
      <c r="B668" s="135">
        <v>3729.75</v>
      </c>
      <c r="C668" s="139">
        <f t="shared" si="20"/>
        <v>-0.80847838517080672</v>
      </c>
      <c r="E668" s="136">
        <v>45259</v>
      </c>
      <c r="F668" s="137">
        <v>66381.259999999995</v>
      </c>
      <c r="G668" s="139">
        <f t="shared" si="21"/>
        <v>0.48065715948177551</v>
      </c>
    </row>
    <row r="669" spans="1:7" ht="16.2" thickBot="1" x14ac:dyDescent="0.35">
      <c r="A669" s="134">
        <v>45260</v>
      </c>
      <c r="B669" s="135">
        <v>3788.7</v>
      </c>
      <c r="C669" s="139">
        <f t="shared" si="20"/>
        <v>1.5805348883973409</v>
      </c>
      <c r="E669" s="136">
        <v>45260</v>
      </c>
      <c r="F669" s="137">
        <v>66963.199999999997</v>
      </c>
      <c r="G669" s="139">
        <f t="shared" si="21"/>
        <v>0.87666308232173118</v>
      </c>
    </row>
    <row r="670" spans="1:7" ht="16.2" thickBot="1" x14ac:dyDescent="0.35">
      <c r="A670" s="140">
        <v>45261</v>
      </c>
      <c r="B670" s="135">
        <v>3792.7</v>
      </c>
      <c r="C670" s="139">
        <f t="shared" si="20"/>
        <v>0.10557711088236071</v>
      </c>
      <c r="E670" s="136">
        <v>45261</v>
      </c>
      <c r="F670" s="137">
        <v>67181.149999999994</v>
      </c>
      <c r="G670" s="139">
        <f t="shared" si="21"/>
        <v>0.32547727707158125</v>
      </c>
    </row>
    <row r="671" spans="1:7" ht="16.2" thickBot="1" x14ac:dyDescent="0.35">
      <c r="A671" s="140">
        <v>45264</v>
      </c>
      <c r="B671" s="135">
        <v>3798.1</v>
      </c>
      <c r="C671" s="139">
        <f t="shared" si="20"/>
        <v>0.14237878028845127</v>
      </c>
      <c r="E671" s="136">
        <v>45264</v>
      </c>
      <c r="F671" s="137">
        <v>68435.34</v>
      </c>
      <c r="G671" s="139">
        <f t="shared" si="21"/>
        <v>1.8668778370123202</v>
      </c>
    </row>
    <row r="672" spans="1:7" ht="16.2" thickBot="1" x14ac:dyDescent="0.35">
      <c r="A672" s="140">
        <v>45265</v>
      </c>
      <c r="B672" s="135">
        <v>3741.15</v>
      </c>
      <c r="C672" s="139">
        <f t="shared" si="20"/>
        <v>-1.4994339274900561</v>
      </c>
      <c r="E672" s="136">
        <v>45265</v>
      </c>
      <c r="F672" s="137">
        <v>69168.53</v>
      </c>
      <c r="G672" s="139">
        <f t="shared" si="21"/>
        <v>1.0713616678166609</v>
      </c>
    </row>
    <row r="673" spans="1:7" ht="16.2" thickBot="1" x14ac:dyDescent="0.35">
      <c r="A673" s="140">
        <v>45266</v>
      </c>
      <c r="B673" s="135">
        <v>3734.45</v>
      </c>
      <c r="C673" s="139">
        <f t="shared" si="20"/>
        <v>-0.17908931745586981</v>
      </c>
      <c r="E673" s="136">
        <v>45266</v>
      </c>
      <c r="F673" s="137">
        <v>69534.929999999993</v>
      </c>
      <c r="G673" s="139">
        <f t="shared" si="21"/>
        <v>0.52972066921184269</v>
      </c>
    </row>
    <row r="674" spans="1:7" ht="16.2" thickBot="1" x14ac:dyDescent="0.35">
      <c r="A674" s="140">
        <v>45267</v>
      </c>
      <c r="B674" s="135">
        <v>3734.35</v>
      </c>
      <c r="C674" s="139">
        <f t="shared" si="20"/>
        <v>-2.6777704882890133E-3</v>
      </c>
      <c r="E674" s="136">
        <v>45267</v>
      </c>
      <c r="F674" s="137">
        <v>69694.149999999994</v>
      </c>
      <c r="G674" s="139">
        <f t="shared" si="21"/>
        <v>0.22897844292070357</v>
      </c>
    </row>
    <row r="675" spans="1:7" ht="16.2" thickBot="1" x14ac:dyDescent="0.35">
      <c r="A675" s="140">
        <v>45268</v>
      </c>
      <c r="B675" s="135">
        <v>3681.75</v>
      </c>
      <c r="C675" s="139">
        <f t="shared" si="20"/>
        <v>-1.4085449944434751</v>
      </c>
      <c r="E675" s="136">
        <v>45268</v>
      </c>
      <c r="F675" s="137">
        <v>69666.38</v>
      </c>
      <c r="G675" s="139">
        <f t="shared" si="21"/>
        <v>-3.984552505481382E-2</v>
      </c>
    </row>
    <row r="676" spans="1:7" ht="16.2" thickBot="1" x14ac:dyDescent="0.35">
      <c r="A676" s="140">
        <v>45271</v>
      </c>
      <c r="B676" s="135">
        <v>3670.5</v>
      </c>
      <c r="C676" s="139">
        <f t="shared" si="20"/>
        <v>-0.30556121409655734</v>
      </c>
      <c r="E676" s="136">
        <v>45271</v>
      </c>
      <c r="F676" s="137">
        <v>69925.63</v>
      </c>
      <c r="G676" s="139">
        <f t="shared" si="21"/>
        <v>0.37213071785845619</v>
      </c>
    </row>
    <row r="677" spans="1:7" ht="16.2" thickBot="1" x14ac:dyDescent="0.35">
      <c r="A677" s="140">
        <v>45272</v>
      </c>
      <c r="B677" s="135">
        <v>3647.6</v>
      </c>
      <c r="C677" s="139">
        <f t="shared" si="20"/>
        <v>-0.62389320256096148</v>
      </c>
      <c r="E677" s="136">
        <v>45272</v>
      </c>
      <c r="F677" s="137">
        <v>70020.679999999993</v>
      </c>
      <c r="G677" s="139">
        <f t="shared" si="21"/>
        <v>0.13593013033988874</v>
      </c>
    </row>
    <row r="678" spans="1:7" ht="16.2" thickBot="1" x14ac:dyDescent="0.35">
      <c r="A678" s="134">
        <v>45273</v>
      </c>
      <c r="B678" s="135">
        <v>3656</v>
      </c>
      <c r="C678" s="139">
        <f t="shared" si="20"/>
        <v>0.23028840881675872</v>
      </c>
      <c r="E678" s="136">
        <v>45273</v>
      </c>
      <c r="F678" s="137">
        <v>69648.56</v>
      </c>
      <c r="G678" s="139">
        <f t="shared" si="21"/>
        <v>-0.53144299655472549</v>
      </c>
    </row>
    <row r="679" spans="1:7" ht="16.2" thickBot="1" x14ac:dyDescent="0.35">
      <c r="A679" s="134">
        <v>45274</v>
      </c>
      <c r="B679" s="135">
        <v>3683.2</v>
      </c>
      <c r="C679" s="139">
        <f t="shared" si="20"/>
        <v>0.74398249452953558</v>
      </c>
      <c r="E679" s="136">
        <v>45274</v>
      </c>
      <c r="F679" s="137">
        <v>70146.09</v>
      </c>
      <c r="G679" s="139">
        <f t="shared" si="21"/>
        <v>0.71434355570308827</v>
      </c>
    </row>
    <row r="680" spans="1:7" ht="16.2" thickBot="1" x14ac:dyDescent="0.35">
      <c r="A680" s="134">
        <v>45275</v>
      </c>
      <c r="B680" s="135">
        <v>3697.05</v>
      </c>
      <c r="C680" s="139">
        <f t="shared" si="20"/>
        <v>0.37603171155517928</v>
      </c>
      <c r="E680" s="136">
        <v>45275</v>
      </c>
      <c r="F680" s="137">
        <v>70804.13</v>
      </c>
      <c r="G680" s="139">
        <f t="shared" si="21"/>
        <v>0.93809932955637043</v>
      </c>
    </row>
    <row r="681" spans="1:7" ht="16.2" thickBot="1" x14ac:dyDescent="0.35">
      <c r="A681" s="134">
        <v>45278</v>
      </c>
      <c r="B681" s="135">
        <v>3713.05</v>
      </c>
      <c r="C681" s="139">
        <f t="shared" si="20"/>
        <v>0.4327774847513558</v>
      </c>
      <c r="E681" s="136">
        <v>45278</v>
      </c>
      <c r="F681" s="137">
        <v>71437.350000000006</v>
      </c>
      <c r="G681" s="139">
        <f t="shared" si="21"/>
        <v>0.89432636203566251</v>
      </c>
    </row>
    <row r="682" spans="1:7" ht="16.2" thickBot="1" x14ac:dyDescent="0.35">
      <c r="A682" s="134">
        <v>45279</v>
      </c>
      <c r="B682" s="135">
        <v>3723.9</v>
      </c>
      <c r="C682" s="139">
        <f t="shared" si="20"/>
        <v>0.29221260150011197</v>
      </c>
      <c r="E682" s="136">
        <v>45279</v>
      </c>
      <c r="F682" s="137">
        <v>71479.28</v>
      </c>
      <c r="G682" s="139">
        <f t="shared" si="21"/>
        <v>5.8694786410740336E-2</v>
      </c>
    </row>
    <row r="683" spans="1:7" ht="16.2" thickBot="1" x14ac:dyDescent="0.35">
      <c r="A683" s="134">
        <v>45280</v>
      </c>
      <c r="B683" s="135">
        <v>3620</v>
      </c>
      <c r="C683" s="139">
        <f t="shared" si="20"/>
        <v>-2.7900856628803159</v>
      </c>
      <c r="E683" s="136">
        <v>45280</v>
      </c>
      <c r="F683" s="137">
        <v>71647.66</v>
      </c>
      <c r="G683" s="139">
        <f t="shared" si="21"/>
        <v>0.23556476786000735</v>
      </c>
    </row>
    <row r="684" spans="1:7" ht="16.2" thickBot="1" x14ac:dyDescent="0.35">
      <c r="A684" s="134">
        <v>45281</v>
      </c>
      <c r="B684" s="135">
        <v>3632.7</v>
      </c>
      <c r="C684" s="139">
        <f t="shared" si="20"/>
        <v>0.3508287292817629</v>
      </c>
      <c r="E684" s="136">
        <v>45281</v>
      </c>
      <c r="F684" s="137">
        <v>69920.89</v>
      </c>
      <c r="G684" s="139">
        <f t="shared" si="21"/>
        <v>-2.4100856887719768</v>
      </c>
    </row>
    <row r="685" spans="1:7" ht="16.2" thickBot="1" x14ac:dyDescent="0.35">
      <c r="A685" s="134">
        <v>45282</v>
      </c>
      <c r="B685" s="135">
        <v>3694.95</v>
      </c>
      <c r="C685" s="139">
        <f t="shared" si="20"/>
        <v>1.7136014534643653</v>
      </c>
      <c r="E685" s="136">
        <v>45282</v>
      </c>
      <c r="F685" s="137">
        <v>71045.649999999994</v>
      </c>
      <c r="G685" s="139">
        <f t="shared" si="21"/>
        <v>1.6086179681065196</v>
      </c>
    </row>
    <row r="686" spans="1:7" ht="16.2" thickBot="1" x14ac:dyDescent="0.35">
      <c r="A686" s="134">
        <v>45286</v>
      </c>
      <c r="B686" s="135">
        <v>3863.5</v>
      </c>
      <c r="C686" s="139">
        <f t="shared" si="20"/>
        <v>4.5616314158513704</v>
      </c>
      <c r="E686" s="136">
        <v>45286</v>
      </c>
      <c r="F686" s="137">
        <v>71097.78</v>
      </c>
      <c r="G686" s="139">
        <f t="shared" si="21"/>
        <v>7.3375357956475387E-2</v>
      </c>
    </row>
    <row r="687" spans="1:7" ht="16.2" thickBot="1" x14ac:dyDescent="0.35">
      <c r="A687" s="134">
        <v>45287</v>
      </c>
      <c r="B687" s="135">
        <v>3884.25</v>
      </c>
      <c r="C687" s="139">
        <f t="shared" si="20"/>
        <v>0.53707777921573707</v>
      </c>
      <c r="E687" s="136">
        <v>45287</v>
      </c>
      <c r="F687" s="137">
        <v>71492.02</v>
      </c>
      <c r="G687" s="139">
        <f t="shared" si="21"/>
        <v>0.55450395216278936</v>
      </c>
    </row>
    <row r="688" spans="1:7" ht="16.2" thickBot="1" x14ac:dyDescent="0.35">
      <c r="A688" s="134">
        <v>45288</v>
      </c>
      <c r="B688" s="135">
        <v>3939.95</v>
      </c>
      <c r="C688" s="139">
        <f t="shared" si="20"/>
        <v>1.4339962669756019</v>
      </c>
      <c r="E688" s="136">
        <v>45288</v>
      </c>
      <c r="F688" s="137">
        <v>72262.67</v>
      </c>
      <c r="G688" s="139">
        <f t="shared" si="21"/>
        <v>1.077952476374278</v>
      </c>
    </row>
    <row r="689" spans="1:7" ht="16.2" thickBot="1" x14ac:dyDescent="0.35">
      <c r="A689" s="134">
        <v>45289</v>
      </c>
      <c r="B689" s="135">
        <v>3903.9</v>
      </c>
      <c r="C689" s="139">
        <f t="shared" si="20"/>
        <v>-0.91498623078972385</v>
      </c>
      <c r="E689" s="136">
        <v>45289</v>
      </c>
      <c r="F689" s="137">
        <v>72351.59</v>
      </c>
      <c r="G689" s="139">
        <f t="shared" si="21"/>
        <v>0.12305108571271758</v>
      </c>
    </row>
    <row r="690" spans="1:7" ht="16.2" thickBot="1" x14ac:dyDescent="0.35">
      <c r="A690" s="140">
        <v>45292</v>
      </c>
      <c r="B690" s="135">
        <v>3915.9</v>
      </c>
      <c r="C690" s="139">
        <f t="shared" si="20"/>
        <v>0.30738492276953816</v>
      </c>
      <c r="E690" s="136">
        <v>45292</v>
      </c>
      <c r="F690" s="137">
        <v>72218.39</v>
      </c>
      <c r="G690" s="139">
        <f t="shared" si="21"/>
        <v>-0.18410099902434363</v>
      </c>
    </row>
    <row r="691" spans="1:7" ht="16.2" thickBot="1" x14ac:dyDescent="0.35">
      <c r="A691" s="140">
        <v>45293</v>
      </c>
      <c r="B691" s="135">
        <v>4030</v>
      </c>
      <c r="C691" s="139">
        <f t="shared" si="20"/>
        <v>2.9137618427436838</v>
      </c>
      <c r="E691" s="136">
        <v>45293</v>
      </c>
      <c r="F691" s="137">
        <v>72332.850000000006</v>
      </c>
      <c r="G691" s="139">
        <f t="shared" si="21"/>
        <v>0.15849148672520449</v>
      </c>
    </row>
    <row r="692" spans="1:7" ht="16.2" thickBot="1" x14ac:dyDescent="0.35">
      <c r="A692" s="140">
        <v>45294</v>
      </c>
      <c r="B692" s="135">
        <v>4030.6</v>
      </c>
      <c r="C692" s="139">
        <f t="shared" si="20"/>
        <v>1.4888337468980372E-2</v>
      </c>
      <c r="E692" s="136">
        <v>45294</v>
      </c>
      <c r="F692" s="137">
        <v>71832.62</v>
      </c>
      <c r="G692" s="139">
        <f t="shared" si="21"/>
        <v>-0.69156683305028133</v>
      </c>
    </row>
    <row r="693" spans="1:7" ht="16.2" thickBot="1" x14ac:dyDescent="0.35">
      <c r="A693" s="140">
        <v>45295</v>
      </c>
      <c r="B693" s="135">
        <v>4042.15</v>
      </c>
      <c r="C693" s="139">
        <f t="shared" si="20"/>
        <v>0.28655783258076173</v>
      </c>
      <c r="E693" s="136">
        <v>45295</v>
      </c>
      <c r="F693" s="137">
        <v>71678.929999999993</v>
      </c>
      <c r="G693" s="139">
        <f t="shared" si="21"/>
        <v>-0.2139557209524062</v>
      </c>
    </row>
    <row r="694" spans="1:7" ht="16.2" thickBot="1" x14ac:dyDescent="0.35">
      <c r="A694" s="140">
        <v>45296</v>
      </c>
      <c r="B694" s="135">
        <v>4014.75</v>
      </c>
      <c r="C694" s="139">
        <f t="shared" si="20"/>
        <v>-0.67785708100887121</v>
      </c>
      <c r="E694" s="136">
        <v>45296</v>
      </c>
      <c r="F694" s="137">
        <v>72016.710000000006</v>
      </c>
      <c r="G694" s="139">
        <f t="shared" si="21"/>
        <v>0.4712402933470316</v>
      </c>
    </row>
    <row r="695" spans="1:7" ht="16.2" thickBot="1" x14ac:dyDescent="0.35">
      <c r="A695" s="140">
        <v>45299</v>
      </c>
      <c r="B695" s="135">
        <v>3934.15</v>
      </c>
      <c r="C695" s="139">
        <f t="shared" si="20"/>
        <v>-2.0075969861137035</v>
      </c>
      <c r="E695" s="136">
        <v>45299</v>
      </c>
      <c r="F695" s="137">
        <v>72113.25</v>
      </c>
      <c r="G695" s="139">
        <f t="shared" si="21"/>
        <v>0.13405222204679107</v>
      </c>
    </row>
    <row r="696" spans="1:7" ht="16.2" thickBot="1" x14ac:dyDescent="0.35">
      <c r="A696" s="140">
        <v>45300</v>
      </c>
      <c r="B696" s="135">
        <v>3984.65</v>
      </c>
      <c r="C696" s="139">
        <f t="shared" si="20"/>
        <v>1.283631788315138</v>
      </c>
      <c r="E696" s="136">
        <v>45300</v>
      </c>
      <c r="F696" s="137">
        <v>71770.91</v>
      </c>
      <c r="G696" s="139">
        <f t="shared" si="21"/>
        <v>-0.47472551854201067</v>
      </c>
    </row>
    <row r="697" spans="1:7" ht="16.2" thickBot="1" x14ac:dyDescent="0.35">
      <c r="A697" s="140">
        <v>45301</v>
      </c>
      <c r="B697" s="135">
        <v>3902.65</v>
      </c>
      <c r="C697" s="139">
        <f t="shared" si="20"/>
        <v>-2.0578971804298996</v>
      </c>
      <c r="E697" s="136">
        <v>45301</v>
      </c>
      <c r="F697" s="137">
        <v>71383.199999999997</v>
      </c>
      <c r="G697" s="139">
        <f t="shared" si="21"/>
        <v>-0.54020493818457427</v>
      </c>
    </row>
    <row r="698" spans="1:7" ht="16.2" thickBot="1" x14ac:dyDescent="0.35">
      <c r="A698" s="140">
        <v>45302</v>
      </c>
      <c r="B698" s="135">
        <v>3905.2</v>
      </c>
      <c r="C698" s="139">
        <f t="shared" si="20"/>
        <v>6.5340217544482007E-2</v>
      </c>
      <c r="E698" s="136">
        <v>45302</v>
      </c>
      <c r="F698" s="137">
        <v>71907.75</v>
      </c>
      <c r="G698" s="139">
        <f t="shared" si="21"/>
        <v>0.73483676831523792</v>
      </c>
    </row>
    <row r="699" spans="1:7" ht="16.2" thickBot="1" x14ac:dyDescent="0.35">
      <c r="A699" s="140">
        <v>45303</v>
      </c>
      <c r="B699" s="135">
        <v>3883.95</v>
      </c>
      <c r="C699" s="139">
        <f t="shared" si="20"/>
        <v>-0.54414626651643971</v>
      </c>
      <c r="E699" s="136">
        <v>45303</v>
      </c>
      <c r="F699" s="137">
        <v>72148.070000000007</v>
      </c>
      <c r="G699" s="139">
        <f t="shared" si="21"/>
        <v>0.33420597918862288</v>
      </c>
    </row>
    <row r="700" spans="1:7" ht="16.2" thickBot="1" x14ac:dyDescent="0.35">
      <c r="A700" s="134">
        <v>45306</v>
      </c>
      <c r="B700" s="135">
        <v>3909.6</v>
      </c>
      <c r="C700" s="139">
        <f t="shared" si="20"/>
        <v>0.66041014946124676</v>
      </c>
      <c r="E700" s="136">
        <v>45306</v>
      </c>
      <c r="F700" s="137">
        <v>73049.87</v>
      </c>
      <c r="G700" s="139">
        <f t="shared" si="21"/>
        <v>1.2499294852932148</v>
      </c>
    </row>
    <row r="701" spans="1:7" ht="16.2" thickBot="1" x14ac:dyDescent="0.35">
      <c r="A701" s="134">
        <v>45307</v>
      </c>
      <c r="B701" s="135">
        <v>3814.5</v>
      </c>
      <c r="C701" s="139">
        <f t="shared" si="20"/>
        <v>-2.4324739103744606</v>
      </c>
      <c r="E701" s="136">
        <v>45307</v>
      </c>
      <c r="F701" s="137">
        <v>73331.95</v>
      </c>
      <c r="G701" s="139">
        <f t="shared" si="21"/>
        <v>0.38614716220576678</v>
      </c>
    </row>
    <row r="702" spans="1:7" ht="16.2" thickBot="1" x14ac:dyDescent="0.35">
      <c r="A702" s="134">
        <v>45308</v>
      </c>
      <c r="B702" s="135">
        <v>3728.8</v>
      </c>
      <c r="C702" s="139">
        <f t="shared" si="20"/>
        <v>-2.2466902608467643</v>
      </c>
      <c r="E702" s="136">
        <v>45308</v>
      </c>
      <c r="F702" s="137">
        <v>71998.929999999993</v>
      </c>
      <c r="G702" s="139">
        <f t="shared" si="21"/>
        <v>-1.817788835562131</v>
      </c>
    </row>
    <row r="703" spans="1:7" ht="16.2" thickBot="1" x14ac:dyDescent="0.35">
      <c r="A703" s="134">
        <v>45309</v>
      </c>
      <c r="B703" s="135">
        <v>3700.2</v>
      </c>
      <c r="C703" s="139">
        <f t="shared" si="20"/>
        <v>-0.76700278910106101</v>
      </c>
      <c r="E703" s="136">
        <v>45309</v>
      </c>
      <c r="F703" s="137">
        <v>71018.86</v>
      </c>
      <c r="G703" s="139">
        <f t="shared" si="21"/>
        <v>-1.3612285627022409</v>
      </c>
    </row>
    <row r="704" spans="1:7" ht="16.2" thickBot="1" x14ac:dyDescent="0.35">
      <c r="A704" s="134">
        <v>45310</v>
      </c>
      <c r="B704" s="135">
        <v>3693.8</v>
      </c>
      <c r="C704" s="139">
        <f t="shared" si="20"/>
        <v>-0.17296362358790435</v>
      </c>
      <c r="E704" s="136">
        <v>45310</v>
      </c>
      <c r="F704" s="137">
        <v>71786.740000000005</v>
      </c>
      <c r="G704" s="139">
        <f t="shared" si="21"/>
        <v>1.081233914484131</v>
      </c>
    </row>
    <row r="705" spans="1:7" ht="16.2" thickBot="1" x14ac:dyDescent="0.35">
      <c r="A705" s="134">
        <v>45311</v>
      </c>
      <c r="B705" s="135">
        <v>3649.55</v>
      </c>
      <c r="C705" s="139">
        <f t="shared" si="20"/>
        <v>-1.1979533271969245</v>
      </c>
      <c r="E705" s="136">
        <v>45311</v>
      </c>
      <c r="F705" s="137">
        <v>72008.3</v>
      </c>
      <c r="G705" s="139">
        <f t="shared" si="21"/>
        <v>0.30863638605123683</v>
      </c>
    </row>
    <row r="706" spans="1:7" ht="16.2" thickBot="1" x14ac:dyDescent="0.35">
      <c r="A706" s="134">
        <v>45314</v>
      </c>
      <c r="B706" s="135">
        <v>3615.35</v>
      </c>
      <c r="C706" s="139">
        <f t="shared" si="20"/>
        <v>-0.93710183447275075</v>
      </c>
      <c r="E706" s="136">
        <v>45314</v>
      </c>
      <c r="F706" s="137">
        <v>71868.2</v>
      </c>
      <c r="G706" s="139">
        <f t="shared" si="21"/>
        <v>-0.1945609047845954</v>
      </c>
    </row>
    <row r="707" spans="1:7" ht="16.2" thickBot="1" x14ac:dyDescent="0.35">
      <c r="A707" s="134">
        <v>45315</v>
      </c>
      <c r="B707" s="135">
        <v>3643.55</v>
      </c>
      <c r="C707" s="139">
        <f t="shared" si="20"/>
        <v>0.78000746815661759</v>
      </c>
      <c r="E707" s="136">
        <v>45315</v>
      </c>
      <c r="F707" s="137">
        <v>70165.490000000005</v>
      </c>
      <c r="G707" s="139">
        <f t="shared" si="21"/>
        <v>-2.3692119741415425</v>
      </c>
    </row>
    <row r="708" spans="1:7" ht="16.2" thickBot="1" x14ac:dyDescent="0.35">
      <c r="A708" s="134">
        <v>45316</v>
      </c>
      <c r="B708" s="135">
        <v>3578.9</v>
      </c>
      <c r="C708" s="139">
        <f t="shared" si="20"/>
        <v>-1.7743684044407266</v>
      </c>
      <c r="E708" s="136">
        <v>45316</v>
      </c>
      <c r="F708" s="137">
        <v>71022.100000000006</v>
      </c>
      <c r="G708" s="139">
        <f t="shared" si="21"/>
        <v>1.2208423257644185</v>
      </c>
    </row>
    <row r="709" spans="1:7" ht="16.2" thickBot="1" x14ac:dyDescent="0.35">
      <c r="A709" s="134">
        <v>45320</v>
      </c>
      <c r="B709" s="135">
        <v>3570.6</v>
      </c>
      <c r="C709" s="139">
        <f t="shared" si="20"/>
        <v>-0.23191483416692787</v>
      </c>
      <c r="E709" s="136">
        <v>45320</v>
      </c>
      <c r="F709" s="137">
        <v>70968.100000000006</v>
      </c>
      <c r="G709" s="139">
        <f t="shared" si="21"/>
        <v>-7.6032671520554859E-2</v>
      </c>
    </row>
    <row r="710" spans="1:7" ht="16.2" thickBot="1" x14ac:dyDescent="0.35">
      <c r="A710" s="134">
        <v>45321</v>
      </c>
      <c r="B710" s="135">
        <v>3551.7</v>
      </c>
      <c r="C710" s="139">
        <f t="shared" si="20"/>
        <v>-0.52932280289027311</v>
      </c>
      <c r="E710" s="136">
        <v>45321</v>
      </c>
      <c r="F710" s="137">
        <v>72000.2</v>
      </c>
      <c r="G710" s="139">
        <f t="shared" si="21"/>
        <v>1.4543153895905219</v>
      </c>
    </row>
    <row r="711" spans="1:7" ht="16.2" thickBot="1" x14ac:dyDescent="0.35">
      <c r="A711" s="134">
        <v>45322</v>
      </c>
      <c r="B711" s="135">
        <v>3670.6</v>
      </c>
      <c r="C711" s="139">
        <f t="shared" si="20"/>
        <v>3.3476926542219245</v>
      </c>
      <c r="E711" s="136">
        <v>45322</v>
      </c>
      <c r="F711" s="137">
        <v>71073.039999999994</v>
      </c>
      <c r="G711" s="139">
        <f t="shared" si="21"/>
        <v>-1.2877186452259903</v>
      </c>
    </row>
    <row r="712" spans="1:7" ht="16.2" thickBot="1" x14ac:dyDescent="0.35">
      <c r="A712" s="140">
        <v>45323</v>
      </c>
      <c r="B712" s="135">
        <v>3655.4</v>
      </c>
      <c r="C712" s="139">
        <f t="shared" ref="C712:C775" si="22">(B712-B711)/B711*100</f>
        <v>-0.41410123685500511</v>
      </c>
      <c r="E712" s="136">
        <v>45323</v>
      </c>
      <c r="F712" s="137">
        <v>71998.78</v>
      </c>
      <c r="G712" s="139">
        <f t="shared" ref="G712:G775" si="23">(F712-F711)/F711*100</f>
        <v>1.3025192112227157</v>
      </c>
    </row>
    <row r="713" spans="1:7" ht="16.2" thickBot="1" x14ac:dyDescent="0.35">
      <c r="A713" s="140">
        <v>45324</v>
      </c>
      <c r="B713" s="135">
        <v>3699.4</v>
      </c>
      <c r="C713" s="139">
        <f t="shared" si="22"/>
        <v>1.2036986376319965</v>
      </c>
      <c r="E713" s="136">
        <v>45324</v>
      </c>
      <c r="F713" s="137">
        <v>71977.56</v>
      </c>
      <c r="G713" s="139">
        <f t="shared" si="23"/>
        <v>-2.9472721621117977E-2</v>
      </c>
    </row>
    <row r="714" spans="1:7" ht="16.2" thickBot="1" x14ac:dyDescent="0.35">
      <c r="A714" s="140">
        <v>45327</v>
      </c>
      <c r="B714" s="135">
        <v>3699.5</v>
      </c>
      <c r="C714" s="139">
        <f t="shared" si="22"/>
        <v>2.703141049897525E-3</v>
      </c>
      <c r="E714" s="136">
        <v>45327</v>
      </c>
      <c r="F714" s="137">
        <v>72269.119999999995</v>
      </c>
      <c r="G714" s="139">
        <f t="shared" si="23"/>
        <v>0.40507069147661806</v>
      </c>
    </row>
    <row r="715" spans="1:7" ht="16.2" thickBot="1" x14ac:dyDescent="0.35">
      <c r="A715" s="140">
        <v>45328</v>
      </c>
      <c r="B715" s="135">
        <v>3726.5</v>
      </c>
      <c r="C715" s="139">
        <f t="shared" si="22"/>
        <v>0.72982835518313294</v>
      </c>
      <c r="E715" s="136">
        <v>45328</v>
      </c>
      <c r="F715" s="137">
        <v>71970.820000000007</v>
      </c>
      <c r="G715" s="139">
        <f t="shared" si="23"/>
        <v>-0.41276274015788256</v>
      </c>
    </row>
    <row r="716" spans="1:7" ht="16.2" thickBot="1" x14ac:dyDescent="0.35">
      <c r="A716" s="140">
        <v>45329</v>
      </c>
      <c r="B716" s="135">
        <v>3731.8</v>
      </c>
      <c r="C716" s="139">
        <f t="shared" si="22"/>
        <v>0.14222460754059257</v>
      </c>
      <c r="E716" s="136">
        <v>45329</v>
      </c>
      <c r="F716" s="137">
        <v>72548.5</v>
      </c>
      <c r="G716" s="139">
        <f t="shared" si="23"/>
        <v>0.80265863304043639</v>
      </c>
    </row>
    <row r="717" spans="1:7" ht="16.2" thickBot="1" x14ac:dyDescent="0.35">
      <c r="A717" s="140">
        <v>45330</v>
      </c>
      <c r="B717" s="135">
        <v>3684.4</v>
      </c>
      <c r="C717" s="139">
        <f t="shared" si="22"/>
        <v>-1.2701645318613026</v>
      </c>
      <c r="E717" s="136">
        <v>45330</v>
      </c>
      <c r="F717" s="137">
        <v>72473.42</v>
      </c>
      <c r="G717" s="139">
        <f t="shared" si="23"/>
        <v>-0.10348938985644328</v>
      </c>
    </row>
    <row r="718" spans="1:7" ht="16.2" thickBot="1" x14ac:dyDescent="0.35">
      <c r="A718" s="140">
        <v>45331</v>
      </c>
      <c r="B718" s="135">
        <v>3652.3</v>
      </c>
      <c r="C718" s="139">
        <f t="shared" si="22"/>
        <v>-0.87124090761046324</v>
      </c>
      <c r="E718" s="136">
        <v>45331</v>
      </c>
      <c r="F718" s="137">
        <v>71410.289999999994</v>
      </c>
      <c r="G718" s="139">
        <f t="shared" si="23"/>
        <v>-1.4669240115893589</v>
      </c>
    </row>
    <row r="719" spans="1:7" ht="16.2" thickBot="1" x14ac:dyDescent="0.35">
      <c r="A719" s="140">
        <v>45334</v>
      </c>
      <c r="B719" s="135">
        <v>3740.15</v>
      </c>
      <c r="C719" s="139">
        <f t="shared" si="22"/>
        <v>2.4053336253867399</v>
      </c>
      <c r="E719" s="136">
        <v>45334</v>
      </c>
      <c r="F719" s="137">
        <v>71722.31</v>
      </c>
      <c r="G719" s="139">
        <f t="shared" si="23"/>
        <v>0.43693983038019324</v>
      </c>
    </row>
    <row r="720" spans="1:7" ht="16.2" thickBot="1" x14ac:dyDescent="0.35">
      <c r="A720" s="134">
        <v>45335</v>
      </c>
      <c r="B720" s="135">
        <v>3700.45</v>
      </c>
      <c r="C720" s="139">
        <f t="shared" si="22"/>
        <v>-1.0614547544884636</v>
      </c>
      <c r="E720" s="136">
        <v>45335</v>
      </c>
      <c r="F720" s="137">
        <v>71292.08</v>
      </c>
      <c r="G720" s="139">
        <f t="shared" si="23"/>
        <v>-0.59985519150177391</v>
      </c>
    </row>
    <row r="721" spans="1:7" ht="16.2" thickBot="1" x14ac:dyDescent="0.35">
      <c r="A721" s="134">
        <v>45336</v>
      </c>
      <c r="B721" s="135">
        <v>3719.65</v>
      </c>
      <c r="C721" s="139">
        <f t="shared" si="22"/>
        <v>0.51885581483333854</v>
      </c>
      <c r="E721" s="136">
        <v>45336</v>
      </c>
      <c r="F721" s="137">
        <v>71035.25</v>
      </c>
      <c r="G721" s="139">
        <f t="shared" si="23"/>
        <v>-0.36025039527532615</v>
      </c>
    </row>
    <row r="722" spans="1:7" ht="16.2" thickBot="1" x14ac:dyDescent="0.35">
      <c r="A722" s="134">
        <v>45337</v>
      </c>
      <c r="B722" s="135">
        <v>3708.85</v>
      </c>
      <c r="C722" s="139">
        <f t="shared" si="22"/>
        <v>-0.29034989851196163</v>
      </c>
      <c r="E722" s="136">
        <v>45337</v>
      </c>
      <c r="F722" s="137">
        <v>72061.47</v>
      </c>
      <c r="G722" s="139">
        <f t="shared" si="23"/>
        <v>1.4446630370133156</v>
      </c>
    </row>
    <row r="723" spans="1:7" ht="16.2" thickBot="1" x14ac:dyDescent="0.35">
      <c r="A723" s="134">
        <v>45338</v>
      </c>
      <c r="B723" s="135">
        <v>3729.2</v>
      </c>
      <c r="C723" s="139">
        <f t="shared" si="22"/>
        <v>0.54868759858176819</v>
      </c>
      <c r="E723" s="136">
        <v>45338</v>
      </c>
      <c r="F723" s="137">
        <v>72406.02</v>
      </c>
      <c r="G723" s="139">
        <f t="shared" si="23"/>
        <v>0.47813346022500364</v>
      </c>
    </row>
    <row r="724" spans="1:7" ht="16.2" thickBot="1" x14ac:dyDescent="0.35">
      <c r="A724" s="134">
        <v>45341</v>
      </c>
      <c r="B724" s="135">
        <v>3723.45</v>
      </c>
      <c r="C724" s="139">
        <f t="shared" si="22"/>
        <v>-0.15418856591225999</v>
      </c>
      <c r="E724" s="136">
        <v>45341</v>
      </c>
      <c r="F724" s="137">
        <v>72627.600000000006</v>
      </c>
      <c r="G724" s="139">
        <f t="shared" si="23"/>
        <v>0.30602427809179644</v>
      </c>
    </row>
    <row r="725" spans="1:7" ht="16.2" thickBot="1" x14ac:dyDescent="0.35">
      <c r="A725" s="134">
        <v>45342</v>
      </c>
      <c r="B725" s="135">
        <v>3712.75</v>
      </c>
      <c r="C725" s="139">
        <f t="shared" si="22"/>
        <v>-0.28736789805153334</v>
      </c>
      <c r="E725" s="136">
        <v>45342</v>
      </c>
      <c r="F725" s="137">
        <v>72727.87</v>
      </c>
      <c r="G725" s="139">
        <f t="shared" si="23"/>
        <v>0.13806046186296878</v>
      </c>
    </row>
    <row r="726" spans="1:7" ht="16.2" thickBot="1" x14ac:dyDescent="0.35">
      <c r="A726" s="134">
        <v>45343</v>
      </c>
      <c r="B726" s="135">
        <v>3649.1</v>
      </c>
      <c r="C726" s="139">
        <f t="shared" si="22"/>
        <v>-1.7143626691805289</v>
      </c>
      <c r="E726" s="136">
        <v>45343</v>
      </c>
      <c r="F726" s="137">
        <v>73267.48</v>
      </c>
      <c r="G726" s="139">
        <f t="shared" si="23"/>
        <v>0.74195765667274538</v>
      </c>
    </row>
    <row r="727" spans="1:7" ht="16.2" thickBot="1" x14ac:dyDescent="0.35">
      <c r="A727" s="134">
        <v>45344</v>
      </c>
      <c r="B727" s="135">
        <v>3645.4</v>
      </c>
      <c r="C727" s="139">
        <f t="shared" si="22"/>
        <v>-0.10139486448712882</v>
      </c>
      <c r="E727" s="136">
        <v>45344</v>
      </c>
      <c r="F727" s="137">
        <v>72677.509999999995</v>
      </c>
      <c r="G727" s="139">
        <f t="shared" si="23"/>
        <v>-0.805227639875155</v>
      </c>
    </row>
    <row r="728" spans="1:7" ht="16.2" thickBot="1" x14ac:dyDescent="0.35">
      <c r="A728" s="134">
        <v>45345</v>
      </c>
      <c r="B728" s="135">
        <v>3648.1</v>
      </c>
      <c r="C728" s="139">
        <f t="shared" si="22"/>
        <v>7.4065946123877166E-2</v>
      </c>
      <c r="E728" s="136">
        <v>45345</v>
      </c>
      <c r="F728" s="137">
        <v>73394.44</v>
      </c>
      <c r="G728" s="139">
        <f t="shared" si="23"/>
        <v>0.98645371862630893</v>
      </c>
    </row>
    <row r="729" spans="1:7" ht="16.2" thickBot="1" x14ac:dyDescent="0.35">
      <c r="A729" s="134">
        <v>45348</v>
      </c>
      <c r="B729" s="135">
        <v>3577.35</v>
      </c>
      <c r="C729" s="139">
        <f t="shared" si="22"/>
        <v>-1.9393656972122475</v>
      </c>
      <c r="E729" s="136">
        <v>45348</v>
      </c>
      <c r="F729" s="137">
        <v>73044.81</v>
      </c>
      <c r="G729" s="139">
        <f t="shared" si="23"/>
        <v>-0.47637123466028852</v>
      </c>
    </row>
    <row r="730" spans="1:7" ht="16.2" thickBot="1" x14ac:dyDescent="0.35">
      <c r="A730" s="134">
        <v>45349</v>
      </c>
      <c r="B730" s="135">
        <v>3539.8</v>
      </c>
      <c r="C730" s="139">
        <f t="shared" si="22"/>
        <v>-1.0496596642766218</v>
      </c>
      <c r="E730" s="136">
        <v>45349</v>
      </c>
      <c r="F730" s="137">
        <v>72723.53</v>
      </c>
      <c r="G730" s="139">
        <f t="shared" si="23"/>
        <v>-0.43983959982919918</v>
      </c>
    </row>
    <row r="731" spans="1:7" ht="16.2" thickBot="1" x14ac:dyDescent="0.35">
      <c r="A731" s="134">
        <v>45350</v>
      </c>
      <c r="B731" s="135">
        <v>3518.35</v>
      </c>
      <c r="C731" s="139">
        <f t="shared" si="22"/>
        <v>-0.60596643878185974</v>
      </c>
      <c r="E731" s="136">
        <v>45350</v>
      </c>
      <c r="F731" s="137">
        <v>73162.820000000007</v>
      </c>
      <c r="G731" s="139">
        <f t="shared" si="23"/>
        <v>0.60405483617201772</v>
      </c>
    </row>
    <row r="732" spans="1:7" ht="16.2" thickBot="1" x14ac:dyDescent="0.35">
      <c r="A732" s="134">
        <v>45351</v>
      </c>
      <c r="B732" s="135">
        <v>3488.8</v>
      </c>
      <c r="C732" s="139">
        <f t="shared" si="22"/>
        <v>-0.83988233120638156</v>
      </c>
      <c r="E732" s="136">
        <v>45351</v>
      </c>
      <c r="F732" s="137">
        <v>72220.570000000007</v>
      </c>
      <c r="G732" s="139">
        <f t="shared" si="23"/>
        <v>-1.2878809209377111</v>
      </c>
    </row>
    <row r="733" spans="1:7" ht="16.2" thickBot="1" x14ac:dyDescent="0.35">
      <c r="A733" s="140">
        <v>45352</v>
      </c>
      <c r="B733" s="135">
        <v>3482.4</v>
      </c>
      <c r="C733" s="139">
        <f t="shared" si="22"/>
        <v>-0.18344416418252954</v>
      </c>
      <c r="E733" s="136">
        <v>45352</v>
      </c>
      <c r="F733" s="137">
        <v>72606.31</v>
      </c>
      <c r="G733" s="139">
        <f t="shared" si="23"/>
        <v>0.53411375734086652</v>
      </c>
    </row>
    <row r="734" spans="1:7" ht="16.2" thickBot="1" x14ac:dyDescent="0.35">
      <c r="A734" s="140">
        <v>45353</v>
      </c>
      <c r="B734" s="135">
        <v>3508.5</v>
      </c>
      <c r="C734" s="139">
        <f t="shared" si="22"/>
        <v>0.74948311509303667</v>
      </c>
      <c r="E734" s="136">
        <v>45353</v>
      </c>
      <c r="F734" s="137">
        <v>73848.19</v>
      </c>
      <c r="G734" s="139">
        <f t="shared" si="23"/>
        <v>1.7104298510694245</v>
      </c>
    </row>
    <row r="735" spans="1:7" ht="16.2" thickBot="1" x14ac:dyDescent="0.35">
      <c r="A735" s="140">
        <v>45355</v>
      </c>
      <c r="B735" s="135">
        <v>3482.3</v>
      </c>
      <c r="C735" s="139">
        <f t="shared" si="22"/>
        <v>-0.7467578737352093</v>
      </c>
      <c r="E735" s="136">
        <v>45355</v>
      </c>
      <c r="F735" s="137">
        <v>73903.09</v>
      </c>
      <c r="G735" s="139">
        <f t="shared" si="23"/>
        <v>7.4341700182488132E-2</v>
      </c>
    </row>
    <row r="736" spans="1:7" ht="16.2" thickBot="1" x14ac:dyDescent="0.35">
      <c r="A736" s="140">
        <v>45356</v>
      </c>
      <c r="B736" s="135">
        <v>3484.45</v>
      </c>
      <c r="C736" s="139">
        <f t="shared" si="22"/>
        <v>6.1740803491934525E-2</v>
      </c>
      <c r="E736" s="136">
        <v>45356</v>
      </c>
      <c r="F736" s="137">
        <v>73767.42</v>
      </c>
      <c r="G736" s="139">
        <f t="shared" si="23"/>
        <v>-0.18357825092292929</v>
      </c>
    </row>
    <row r="737" spans="1:7" ht="16.2" thickBot="1" x14ac:dyDescent="0.35">
      <c r="A737" s="140">
        <v>45357</v>
      </c>
      <c r="B737" s="135">
        <v>3544.65</v>
      </c>
      <c r="C737" s="139">
        <f t="shared" si="22"/>
        <v>1.7276758168434121</v>
      </c>
      <c r="E737" s="136">
        <v>45357</v>
      </c>
      <c r="F737" s="137">
        <v>73587.7</v>
      </c>
      <c r="G737" s="139">
        <f t="shared" si="23"/>
        <v>-0.24363058922218123</v>
      </c>
    </row>
    <row r="738" spans="1:7" ht="16.2" thickBot="1" x14ac:dyDescent="0.35">
      <c r="A738" s="140">
        <v>45358</v>
      </c>
      <c r="B738" s="135">
        <v>3601.6</v>
      </c>
      <c r="C738" s="139">
        <f t="shared" si="22"/>
        <v>1.6066466364803245</v>
      </c>
      <c r="E738" s="136">
        <v>45358</v>
      </c>
      <c r="F738" s="137">
        <v>74242.740000000005</v>
      </c>
      <c r="G738" s="139">
        <f t="shared" si="23"/>
        <v>0.89014876127397402</v>
      </c>
    </row>
    <row r="739" spans="1:7" ht="16.2" thickBot="1" x14ac:dyDescent="0.35">
      <c r="A739" s="140">
        <v>45362</v>
      </c>
      <c r="B739" s="135">
        <v>3604.75</v>
      </c>
      <c r="C739" s="139">
        <f t="shared" si="22"/>
        <v>8.7461128387385914E-2</v>
      </c>
      <c r="E739" s="136">
        <v>45362</v>
      </c>
      <c r="F739" s="137">
        <v>74175.929999999993</v>
      </c>
      <c r="G739" s="139">
        <f t="shared" si="23"/>
        <v>-8.998859686484123E-2</v>
      </c>
    </row>
    <row r="740" spans="1:7" ht="16.2" thickBot="1" x14ac:dyDescent="0.35">
      <c r="A740" s="140">
        <v>45363</v>
      </c>
      <c r="B740" s="135">
        <v>3577.75</v>
      </c>
      <c r="C740" s="139">
        <f t="shared" si="22"/>
        <v>-0.74901172064636934</v>
      </c>
      <c r="E740" s="136">
        <v>45363</v>
      </c>
      <c r="F740" s="137">
        <v>73516.42</v>
      </c>
      <c r="G740" s="139">
        <f t="shared" si="23"/>
        <v>-0.88911591671313706</v>
      </c>
    </row>
    <row r="741" spans="1:7" ht="16.2" thickBot="1" x14ac:dyDescent="0.35">
      <c r="A741" s="134">
        <v>45364</v>
      </c>
      <c r="B741" s="135">
        <v>3479.8</v>
      </c>
      <c r="C741" s="139">
        <f t="shared" si="22"/>
        <v>-2.7377541751100498</v>
      </c>
      <c r="E741" s="136">
        <v>45364</v>
      </c>
      <c r="F741" s="137">
        <v>73993.399999999994</v>
      </c>
      <c r="G741" s="139">
        <f t="shared" si="23"/>
        <v>0.64880743648833272</v>
      </c>
    </row>
    <row r="742" spans="1:7" ht="16.2" thickBot="1" x14ac:dyDescent="0.35">
      <c r="A742" s="134">
        <v>45365</v>
      </c>
      <c r="B742" s="135">
        <v>3517.9</v>
      </c>
      <c r="C742" s="139">
        <f t="shared" si="22"/>
        <v>1.0948905109489024</v>
      </c>
      <c r="E742" s="136">
        <v>45365</v>
      </c>
      <c r="F742" s="137">
        <v>72570.100000000006</v>
      </c>
      <c r="G742" s="139">
        <f t="shared" si="23"/>
        <v>-1.9235499382377192</v>
      </c>
    </row>
    <row r="743" spans="1:7" ht="16.2" thickBot="1" x14ac:dyDescent="0.35">
      <c r="A743" s="134">
        <v>45366</v>
      </c>
      <c r="B743" s="135">
        <v>3485.4</v>
      </c>
      <c r="C743" s="139">
        <f t="shared" si="22"/>
        <v>-0.92384661303618631</v>
      </c>
      <c r="E743" s="136">
        <v>45366</v>
      </c>
      <c r="F743" s="137">
        <v>72886.77</v>
      </c>
      <c r="G743" s="139">
        <f t="shared" si="23"/>
        <v>0.43636428777140751</v>
      </c>
    </row>
    <row r="744" spans="1:7" ht="16.2" thickBot="1" x14ac:dyDescent="0.35">
      <c r="A744" s="134">
        <v>45369</v>
      </c>
      <c r="B744" s="135">
        <v>3506.6</v>
      </c>
      <c r="C744" s="139">
        <f t="shared" si="22"/>
        <v>0.6082515636655712</v>
      </c>
      <c r="E744" s="136">
        <v>45369</v>
      </c>
      <c r="F744" s="137">
        <v>72587.3</v>
      </c>
      <c r="G744" s="139">
        <f t="shared" si="23"/>
        <v>-0.41087017575343393</v>
      </c>
    </row>
    <row r="745" spans="1:7" ht="16.2" thickBot="1" x14ac:dyDescent="0.35">
      <c r="A745" s="134">
        <v>45370</v>
      </c>
      <c r="B745" s="135">
        <v>3447.15</v>
      </c>
      <c r="C745" s="139">
        <f t="shared" si="22"/>
        <v>-1.6953744367763595</v>
      </c>
      <c r="E745" s="136">
        <v>45370</v>
      </c>
      <c r="F745" s="137">
        <v>72462.94</v>
      </c>
      <c r="G745" s="139">
        <f t="shared" si="23"/>
        <v>-0.17132473586977418</v>
      </c>
    </row>
    <row r="746" spans="1:7" ht="16.2" thickBot="1" x14ac:dyDescent="0.35">
      <c r="A746" s="134">
        <v>45371</v>
      </c>
      <c r="B746" s="135">
        <v>3428.3</v>
      </c>
      <c r="C746" s="139">
        <f t="shared" si="22"/>
        <v>-0.54682853951815003</v>
      </c>
      <c r="E746" s="136">
        <v>45371</v>
      </c>
      <c r="F746" s="137">
        <v>72036.86</v>
      </c>
      <c r="G746" s="139">
        <f t="shared" si="23"/>
        <v>-0.58799711963108547</v>
      </c>
    </row>
    <row r="747" spans="1:7" ht="16.2" thickBot="1" x14ac:dyDescent="0.35">
      <c r="A747" s="134">
        <v>45372</v>
      </c>
      <c r="B747" s="135">
        <v>3465.3</v>
      </c>
      <c r="C747" s="139">
        <f t="shared" si="22"/>
        <v>1.0792521074585071</v>
      </c>
      <c r="E747" s="136">
        <v>45372</v>
      </c>
      <c r="F747" s="137">
        <v>72507.360000000001</v>
      </c>
      <c r="G747" s="139">
        <f t="shared" si="23"/>
        <v>0.65313785192747165</v>
      </c>
    </row>
    <row r="748" spans="1:7" ht="16.2" thickBot="1" x14ac:dyDescent="0.35">
      <c r="A748" s="134">
        <v>45373</v>
      </c>
      <c r="B748" s="135">
        <v>3431.45</v>
      </c>
      <c r="C748" s="139">
        <f t="shared" si="22"/>
        <v>-0.97682740311085225</v>
      </c>
      <c r="E748" s="136">
        <v>45373</v>
      </c>
      <c r="F748" s="137">
        <v>72231.66</v>
      </c>
      <c r="G748" s="139">
        <f t="shared" si="23"/>
        <v>-0.38023726143111136</v>
      </c>
    </row>
    <row r="749" spans="1:7" ht="16.2" thickBot="1" x14ac:dyDescent="0.35">
      <c r="A749" s="134">
        <v>45377</v>
      </c>
      <c r="B749" s="135">
        <v>3391</v>
      </c>
      <c r="C749" s="139">
        <f t="shared" si="22"/>
        <v>-1.1788019641842318</v>
      </c>
      <c r="E749" s="136">
        <v>45377</v>
      </c>
      <c r="F749" s="137">
        <v>72396.97</v>
      </c>
      <c r="G749" s="139">
        <f t="shared" si="23"/>
        <v>0.22886086239745518</v>
      </c>
    </row>
    <row r="750" spans="1:7" ht="16.2" thickBot="1" x14ac:dyDescent="0.35">
      <c r="A750" s="134">
        <v>45378</v>
      </c>
      <c r="B750" s="135">
        <v>3367.85</v>
      </c>
      <c r="C750" s="139">
        <f t="shared" si="22"/>
        <v>-0.68268947213211717</v>
      </c>
      <c r="E750" s="136">
        <v>45378</v>
      </c>
      <c r="F750" s="137">
        <v>72692.160000000003</v>
      </c>
      <c r="G750" s="139">
        <f t="shared" si="23"/>
        <v>0.40773805865080032</v>
      </c>
    </row>
    <row r="751" spans="1:7" ht="16.2" thickBot="1" x14ac:dyDescent="0.35">
      <c r="A751" s="134">
        <v>45379</v>
      </c>
      <c r="B751" s="135">
        <v>3445.3</v>
      </c>
      <c r="C751" s="139">
        <f t="shared" si="22"/>
        <v>2.2996867437682877</v>
      </c>
      <c r="E751" s="136">
        <v>45379</v>
      </c>
      <c r="F751" s="137">
        <v>73149.34</v>
      </c>
      <c r="G751" s="139">
        <f t="shared" si="23"/>
        <v>0.62892614554305859</v>
      </c>
    </row>
    <row r="752" spans="1:7" ht="16.2" thickBot="1" x14ac:dyDescent="0.35">
      <c r="A752" s="140">
        <v>45383</v>
      </c>
      <c r="B752" s="135">
        <v>3567.95</v>
      </c>
      <c r="C752" s="139">
        <f t="shared" si="22"/>
        <v>3.5599222128696955</v>
      </c>
      <c r="E752" s="136">
        <v>45383</v>
      </c>
      <c r="F752" s="137">
        <v>73968.62</v>
      </c>
      <c r="G752" s="139">
        <f t="shared" si="23"/>
        <v>1.1200101053543325</v>
      </c>
    </row>
    <row r="753" spans="1:7" ht="16.2" thickBot="1" x14ac:dyDescent="0.35">
      <c r="A753" s="140">
        <v>45384</v>
      </c>
      <c r="B753" s="135">
        <v>3622.5</v>
      </c>
      <c r="C753" s="139">
        <f t="shared" si="22"/>
        <v>1.528889138020437</v>
      </c>
      <c r="E753" s="136">
        <v>45384</v>
      </c>
      <c r="F753" s="137">
        <v>74022.3</v>
      </c>
      <c r="G753" s="139">
        <f t="shared" si="23"/>
        <v>7.2571314700757658E-2</v>
      </c>
    </row>
    <row r="754" spans="1:7" ht="16.2" thickBot="1" x14ac:dyDescent="0.35">
      <c r="A754" s="140">
        <v>45385</v>
      </c>
      <c r="B754" s="135">
        <v>3684.9</v>
      </c>
      <c r="C754" s="139">
        <f t="shared" si="22"/>
        <v>1.7225672877846816</v>
      </c>
      <c r="E754" s="136">
        <v>45385</v>
      </c>
      <c r="F754" s="137">
        <v>73757.23</v>
      </c>
      <c r="G754" s="139">
        <f t="shared" si="23"/>
        <v>-0.35809479035372715</v>
      </c>
    </row>
    <row r="755" spans="1:7" ht="16.2" thickBot="1" x14ac:dyDescent="0.35">
      <c r="A755" s="140">
        <v>45386</v>
      </c>
      <c r="B755" s="135">
        <v>3734.2</v>
      </c>
      <c r="C755" s="139">
        <f t="shared" si="22"/>
        <v>1.3378924801215699</v>
      </c>
      <c r="E755" s="136">
        <v>45386</v>
      </c>
      <c r="F755" s="137">
        <v>74413.820000000007</v>
      </c>
      <c r="G755" s="139">
        <f t="shared" si="23"/>
        <v>0.89020425523031588</v>
      </c>
    </row>
    <row r="756" spans="1:7" ht="16.2" thickBot="1" x14ac:dyDescent="0.35">
      <c r="A756" s="140">
        <v>45387</v>
      </c>
      <c r="B756" s="135">
        <v>3748.15</v>
      </c>
      <c r="C756" s="139">
        <f t="shared" si="22"/>
        <v>0.37357399175192202</v>
      </c>
      <c r="E756" s="136">
        <v>45387</v>
      </c>
      <c r="F756" s="137">
        <v>74287.02</v>
      </c>
      <c r="G756" s="139">
        <f t="shared" si="23"/>
        <v>-0.17039845555570579</v>
      </c>
    </row>
    <row r="757" spans="1:7" ht="16.2" thickBot="1" x14ac:dyDescent="0.35">
      <c r="A757" s="140">
        <v>45390</v>
      </c>
      <c r="B757" s="135">
        <v>3796</v>
      </c>
      <c r="C757" s="139">
        <f t="shared" si="22"/>
        <v>1.2766298040366557</v>
      </c>
      <c r="E757" s="136">
        <v>45390</v>
      </c>
      <c r="F757" s="137">
        <v>74555.44</v>
      </c>
      <c r="G757" s="139">
        <f t="shared" si="23"/>
        <v>0.36132826434550508</v>
      </c>
    </row>
    <row r="758" spans="1:7" ht="16.2" thickBot="1" x14ac:dyDescent="0.35">
      <c r="A758" s="140">
        <v>45391</v>
      </c>
      <c r="B758" s="135">
        <v>3804.95</v>
      </c>
      <c r="C758" s="139">
        <f t="shared" si="22"/>
        <v>0.23577449947312482</v>
      </c>
      <c r="E758" s="136">
        <v>45391</v>
      </c>
      <c r="F758" s="137">
        <v>75124.28</v>
      </c>
      <c r="G758" s="139">
        <f t="shared" si="23"/>
        <v>0.76297584723528755</v>
      </c>
    </row>
    <row r="759" spans="1:7" ht="16.2" thickBot="1" x14ac:dyDescent="0.35">
      <c r="A759" s="140">
        <v>45392</v>
      </c>
      <c r="B759" s="135">
        <v>3739.1</v>
      </c>
      <c r="C759" s="139">
        <f t="shared" si="22"/>
        <v>-1.7306403500703009</v>
      </c>
      <c r="E759" s="136">
        <v>45392</v>
      </c>
      <c r="F759" s="137">
        <v>74953.960000000006</v>
      </c>
      <c r="G759" s="139">
        <f t="shared" si="23"/>
        <v>-0.22671764707760583</v>
      </c>
    </row>
    <row r="760" spans="1:7" ht="16.2" thickBot="1" x14ac:dyDescent="0.35">
      <c r="A760" s="140">
        <v>45394</v>
      </c>
      <c r="B760" s="135">
        <v>3779.7</v>
      </c>
      <c r="C760" s="139">
        <f t="shared" si="22"/>
        <v>1.0858227915808594</v>
      </c>
      <c r="E760" s="136">
        <v>45394</v>
      </c>
      <c r="F760" s="137">
        <v>74889.64</v>
      </c>
      <c r="G760" s="139">
        <f t="shared" si="23"/>
        <v>-8.5812677542329949E-2</v>
      </c>
    </row>
    <row r="761" spans="1:7" ht="16.2" thickBot="1" x14ac:dyDescent="0.35">
      <c r="A761" s="134">
        <v>45397</v>
      </c>
      <c r="B761" s="135">
        <v>3716.55</v>
      </c>
      <c r="C761" s="139">
        <f t="shared" si="22"/>
        <v>-1.6707675212318343</v>
      </c>
      <c r="E761" s="136">
        <v>45397</v>
      </c>
      <c r="F761" s="137">
        <v>73315.16</v>
      </c>
      <c r="G761" s="139">
        <f t="shared" si="23"/>
        <v>-2.1024002785966069</v>
      </c>
    </row>
    <row r="762" spans="1:7" ht="16.2" thickBot="1" x14ac:dyDescent="0.35">
      <c r="A762" s="134">
        <v>45398</v>
      </c>
      <c r="B762" s="135">
        <v>3764.2</v>
      </c>
      <c r="C762" s="139">
        <f t="shared" si="22"/>
        <v>1.2821030256555039</v>
      </c>
      <c r="E762" s="136">
        <v>45398</v>
      </c>
      <c r="F762" s="137">
        <v>72892.14</v>
      </c>
      <c r="G762" s="139">
        <f t="shared" si="23"/>
        <v>-0.57698844277227801</v>
      </c>
    </row>
    <row r="763" spans="1:7" ht="16.2" thickBot="1" x14ac:dyDescent="0.35">
      <c r="A763" s="134">
        <v>45400</v>
      </c>
      <c r="B763" s="135">
        <v>3708.9</v>
      </c>
      <c r="C763" s="139">
        <f t="shared" si="22"/>
        <v>-1.4691036608044135</v>
      </c>
      <c r="E763" s="136">
        <v>45400</v>
      </c>
      <c r="F763" s="137">
        <v>73183.100000000006</v>
      </c>
      <c r="G763" s="139">
        <f t="shared" si="23"/>
        <v>0.39916512260444875</v>
      </c>
    </row>
    <row r="764" spans="1:7" ht="16.2" thickBot="1" x14ac:dyDescent="0.35">
      <c r="A764" s="134">
        <v>45401</v>
      </c>
      <c r="B764" s="135">
        <v>3671.7</v>
      </c>
      <c r="C764" s="139">
        <f t="shared" si="22"/>
        <v>-1.0029928011000639</v>
      </c>
      <c r="E764" s="136">
        <v>45401</v>
      </c>
      <c r="F764" s="137">
        <v>71999.649999999994</v>
      </c>
      <c r="G764" s="139">
        <f t="shared" si="23"/>
        <v>-1.6171083214567457</v>
      </c>
    </row>
    <row r="765" spans="1:7" ht="16.2" thickBot="1" x14ac:dyDescent="0.35">
      <c r="A765" s="134">
        <v>45404</v>
      </c>
      <c r="B765" s="135">
        <v>3737.5</v>
      </c>
      <c r="C765" s="139">
        <f t="shared" si="22"/>
        <v>1.7920854100280574</v>
      </c>
      <c r="E765" s="136">
        <v>45404</v>
      </c>
      <c r="F765" s="137">
        <v>73666.509999999995</v>
      </c>
      <c r="G765" s="139">
        <f t="shared" si="23"/>
        <v>2.3150945872653557</v>
      </c>
    </row>
    <row r="766" spans="1:7" ht="16.2" thickBot="1" x14ac:dyDescent="0.35">
      <c r="A766" s="134">
        <v>45405</v>
      </c>
      <c r="B766" s="135">
        <v>3768.65</v>
      </c>
      <c r="C766" s="139">
        <f t="shared" si="22"/>
        <v>0.83344481605351417</v>
      </c>
      <c r="E766" s="136">
        <v>45405</v>
      </c>
      <c r="F766" s="137">
        <v>74048.94</v>
      </c>
      <c r="G766" s="139">
        <f t="shared" si="23"/>
        <v>0.51913685065304116</v>
      </c>
    </row>
    <row r="767" spans="1:7" ht="16.2" thickBot="1" x14ac:dyDescent="0.35">
      <c r="A767" s="134">
        <v>45406</v>
      </c>
      <c r="B767" s="135">
        <v>3813.8</v>
      </c>
      <c r="C767" s="139">
        <f t="shared" si="22"/>
        <v>1.1980417390842899</v>
      </c>
      <c r="E767" s="136">
        <v>45406</v>
      </c>
      <c r="F767" s="137">
        <v>73957.570000000007</v>
      </c>
      <c r="G767" s="139">
        <f t="shared" si="23"/>
        <v>-0.12339136792504435</v>
      </c>
    </row>
    <row r="768" spans="1:7" ht="16.2" thickBot="1" x14ac:dyDescent="0.35">
      <c r="A768" s="134">
        <v>45407</v>
      </c>
      <c r="B768" s="135">
        <v>3843.8</v>
      </c>
      <c r="C768" s="139">
        <f t="shared" si="22"/>
        <v>0.78661702239236453</v>
      </c>
      <c r="E768" s="136">
        <v>45407</v>
      </c>
      <c r="F768" s="137">
        <v>73572.34</v>
      </c>
      <c r="G768" s="139">
        <f t="shared" si="23"/>
        <v>-0.52087974226304412</v>
      </c>
    </row>
    <row r="769" spans="1:7" ht="16.2" thickBot="1" x14ac:dyDescent="0.35">
      <c r="A769" s="134">
        <v>45408</v>
      </c>
      <c r="B769" s="135">
        <v>4016.35</v>
      </c>
      <c r="C769" s="139">
        <f t="shared" si="22"/>
        <v>4.4890472969457234</v>
      </c>
      <c r="E769" s="136">
        <v>45408</v>
      </c>
      <c r="F769" s="137">
        <v>74509.31</v>
      </c>
      <c r="G769" s="139">
        <f t="shared" si="23"/>
        <v>1.2735356793055668</v>
      </c>
    </row>
    <row r="770" spans="1:7" ht="16.2" thickBot="1" x14ac:dyDescent="0.35">
      <c r="A770" s="134">
        <v>45411</v>
      </c>
      <c r="B770" s="135">
        <v>3989.25</v>
      </c>
      <c r="C770" s="139">
        <f t="shared" si="22"/>
        <v>-0.67474199210725938</v>
      </c>
      <c r="E770" s="136">
        <v>45411</v>
      </c>
      <c r="F770" s="137">
        <v>73982.75</v>
      </c>
      <c r="G770" s="139">
        <f t="shared" si="23"/>
        <v>-0.70670363206959996</v>
      </c>
    </row>
    <row r="771" spans="1:7" ht="16.2" thickBot="1" x14ac:dyDescent="0.35">
      <c r="A771" s="134">
        <v>45412</v>
      </c>
      <c r="B771" s="135">
        <v>4002.4</v>
      </c>
      <c r="C771" s="139">
        <f t="shared" si="22"/>
        <v>0.32963589647177016</v>
      </c>
      <c r="E771" s="136">
        <v>45412</v>
      </c>
      <c r="F771" s="137">
        <v>74800.89</v>
      </c>
      <c r="G771" s="139">
        <f t="shared" si="23"/>
        <v>1.1058523777502181</v>
      </c>
    </row>
    <row r="772" spans="1:7" ht="16.2" thickBot="1" x14ac:dyDescent="0.35">
      <c r="A772" s="140">
        <v>45414</v>
      </c>
      <c r="B772" s="135">
        <v>3964.65</v>
      </c>
      <c r="C772" s="139">
        <f t="shared" si="22"/>
        <v>-0.9431840895462722</v>
      </c>
      <c r="E772" s="136">
        <v>45414</v>
      </c>
      <c r="F772" s="137">
        <v>74391.73</v>
      </c>
      <c r="G772" s="139">
        <f t="shared" si="23"/>
        <v>-0.54699883918493952</v>
      </c>
    </row>
    <row r="773" spans="1:7" ht="16.2" thickBot="1" x14ac:dyDescent="0.35">
      <c r="A773" s="140">
        <v>45415</v>
      </c>
      <c r="B773" s="135">
        <v>3950.95</v>
      </c>
      <c r="C773" s="139">
        <f t="shared" si="22"/>
        <v>-0.34555383199022038</v>
      </c>
      <c r="E773" s="136">
        <v>45415</v>
      </c>
      <c r="F773" s="137">
        <v>75017.820000000007</v>
      </c>
      <c r="G773" s="139">
        <f t="shared" si="23"/>
        <v>0.84161236739622947</v>
      </c>
    </row>
    <row r="774" spans="1:7" ht="16.2" thickBot="1" x14ac:dyDescent="0.35">
      <c r="A774" s="140">
        <v>45418</v>
      </c>
      <c r="B774" s="135">
        <v>3963</v>
      </c>
      <c r="C774" s="139">
        <f t="shared" si="22"/>
        <v>0.30498993912856864</v>
      </c>
      <c r="E774" s="136">
        <v>45418</v>
      </c>
      <c r="F774" s="137">
        <v>74196.679999999993</v>
      </c>
      <c r="G774" s="139">
        <f t="shared" si="23"/>
        <v>-1.0945932579752569</v>
      </c>
    </row>
    <row r="775" spans="1:7" ht="16.2" thickBot="1" x14ac:dyDescent="0.35">
      <c r="A775" s="140">
        <v>45419</v>
      </c>
      <c r="B775" s="135">
        <v>3911.4</v>
      </c>
      <c r="C775" s="139">
        <f t="shared" si="22"/>
        <v>-1.3020439061317162</v>
      </c>
      <c r="E775" s="136">
        <v>45419</v>
      </c>
      <c r="F775" s="137">
        <v>73973.3</v>
      </c>
      <c r="G775" s="139">
        <f t="shared" si="23"/>
        <v>-0.30106468375672624</v>
      </c>
    </row>
    <row r="776" spans="1:7" ht="16.2" thickBot="1" x14ac:dyDescent="0.35">
      <c r="A776" s="140">
        <v>45420</v>
      </c>
      <c r="B776" s="135">
        <v>3927.35</v>
      </c>
      <c r="C776" s="139">
        <f t="shared" ref="C776:C839" si="24">(B776-B775)/B775*100</f>
        <v>0.4077823797105849</v>
      </c>
      <c r="E776" s="136">
        <v>45420</v>
      </c>
      <c r="F776" s="137">
        <v>73225</v>
      </c>
      <c r="G776" s="139">
        <f t="shared" ref="G776:G839" si="25">(F776-F775)/F775*100</f>
        <v>-1.0115812056512321</v>
      </c>
    </row>
    <row r="777" spans="1:7" ht="16.2" thickBot="1" x14ac:dyDescent="0.35">
      <c r="A777" s="140">
        <v>45421</v>
      </c>
      <c r="B777" s="135">
        <v>3789.95</v>
      </c>
      <c r="C777" s="139">
        <f t="shared" si="24"/>
        <v>-3.4985422740524803</v>
      </c>
      <c r="E777" s="136">
        <v>45421</v>
      </c>
      <c r="F777" s="137">
        <v>73499.490000000005</v>
      </c>
      <c r="G777" s="139">
        <f t="shared" si="25"/>
        <v>0.37485831341755582</v>
      </c>
    </row>
    <row r="778" spans="1:7" ht="16.2" thickBot="1" x14ac:dyDescent="0.35">
      <c r="A778" s="140">
        <v>45422</v>
      </c>
      <c r="B778" s="135">
        <v>3793.5</v>
      </c>
      <c r="C778" s="139">
        <f t="shared" si="24"/>
        <v>9.3668781910056398E-2</v>
      </c>
      <c r="E778" s="136">
        <v>45422</v>
      </c>
      <c r="F778" s="137">
        <v>72475.45</v>
      </c>
      <c r="G778" s="139">
        <f t="shared" si="25"/>
        <v>-1.3932613682081441</v>
      </c>
    </row>
    <row r="779" spans="1:7" ht="16.2" thickBot="1" x14ac:dyDescent="0.35">
      <c r="A779" s="134">
        <v>45425</v>
      </c>
      <c r="B779" s="135">
        <v>3911.5</v>
      </c>
      <c r="C779" s="139">
        <f t="shared" si="24"/>
        <v>3.1105838935020431</v>
      </c>
      <c r="E779" s="136">
        <v>45425</v>
      </c>
      <c r="F779" s="137">
        <v>72476.649999999994</v>
      </c>
      <c r="G779" s="139">
        <f t="shared" si="25"/>
        <v>1.6557330792662753E-3</v>
      </c>
    </row>
    <row r="780" spans="1:7" ht="16.2" thickBot="1" x14ac:dyDescent="0.35">
      <c r="A780" s="134">
        <v>45426</v>
      </c>
      <c r="B780" s="135">
        <v>3896.2</v>
      </c>
      <c r="C780" s="139">
        <f t="shared" si="24"/>
        <v>-0.39115428863607776</v>
      </c>
      <c r="E780" s="136">
        <v>45426</v>
      </c>
      <c r="F780" s="137">
        <v>72696.72</v>
      </c>
      <c r="G780" s="139">
        <f t="shared" si="25"/>
        <v>0.30364262145119431</v>
      </c>
    </row>
    <row r="781" spans="1:7" ht="16.2" thickBot="1" x14ac:dyDescent="0.35">
      <c r="A781" s="134">
        <v>45427</v>
      </c>
      <c r="B781" s="135">
        <v>3892.55</v>
      </c>
      <c r="C781" s="139">
        <f t="shared" si="24"/>
        <v>-9.3681022534768149E-2</v>
      </c>
      <c r="E781" s="136">
        <v>45427</v>
      </c>
      <c r="F781" s="137">
        <v>73200.23</v>
      </c>
      <c r="G781" s="139">
        <f t="shared" si="25"/>
        <v>0.6926172184934819</v>
      </c>
    </row>
    <row r="782" spans="1:7" ht="16.2" thickBot="1" x14ac:dyDescent="0.35">
      <c r="A782" s="134">
        <v>45428</v>
      </c>
      <c r="B782" s="135">
        <v>3931.15</v>
      </c>
      <c r="C782" s="139">
        <f t="shared" si="24"/>
        <v>0.99163787234588918</v>
      </c>
      <c r="E782" s="136">
        <v>45428</v>
      </c>
      <c r="F782" s="137">
        <v>73338.240000000005</v>
      </c>
      <c r="G782" s="139">
        <f t="shared" si="25"/>
        <v>0.18853765896638483</v>
      </c>
    </row>
    <row r="783" spans="1:7" ht="16.2" thickBot="1" x14ac:dyDescent="0.35">
      <c r="A783" s="134">
        <v>45429</v>
      </c>
      <c r="B783" s="135">
        <v>3910.75</v>
      </c>
      <c r="C783" s="139">
        <f t="shared" si="24"/>
        <v>-0.51893211910001114</v>
      </c>
      <c r="E783" s="136">
        <v>45429</v>
      </c>
      <c r="F783" s="137">
        <v>73711.31</v>
      </c>
      <c r="G783" s="139">
        <f t="shared" si="25"/>
        <v>0.50869778167568847</v>
      </c>
    </row>
    <row r="784" spans="1:7" ht="16.2" thickBot="1" x14ac:dyDescent="0.35">
      <c r="A784" s="134">
        <v>45430</v>
      </c>
      <c r="B784" s="135">
        <v>3929</v>
      </c>
      <c r="C784" s="139">
        <f t="shared" si="24"/>
        <v>0.46666240490954425</v>
      </c>
      <c r="E784" s="136">
        <v>45430</v>
      </c>
      <c r="F784" s="137">
        <v>73921.460000000006</v>
      </c>
      <c r="G784" s="139">
        <f t="shared" si="25"/>
        <v>0.28509871822927685</v>
      </c>
    </row>
    <row r="785" spans="1:7" ht="16.2" thickBot="1" x14ac:dyDescent="0.35">
      <c r="A785" s="134">
        <v>45433</v>
      </c>
      <c r="B785" s="135">
        <v>4016.55</v>
      </c>
      <c r="C785" s="139">
        <f t="shared" si="24"/>
        <v>2.2283023670145123</v>
      </c>
      <c r="E785" s="136">
        <v>45433</v>
      </c>
      <c r="F785" s="137">
        <v>73842.960000000006</v>
      </c>
      <c r="G785" s="139">
        <f t="shared" si="25"/>
        <v>-0.10619379000360651</v>
      </c>
    </row>
    <row r="786" spans="1:7" ht="16.2" thickBot="1" x14ac:dyDescent="0.35">
      <c r="A786" s="134">
        <v>45434</v>
      </c>
      <c r="B786" s="135">
        <v>4058.55</v>
      </c>
      <c r="C786" s="139">
        <f t="shared" si="24"/>
        <v>1.045673525787056</v>
      </c>
      <c r="E786" s="136">
        <v>45434</v>
      </c>
      <c r="F786" s="137">
        <v>74165.52</v>
      </c>
      <c r="G786" s="139">
        <f t="shared" si="25"/>
        <v>0.43681889241709387</v>
      </c>
    </row>
    <row r="787" spans="1:7" ht="16.2" thickBot="1" x14ac:dyDescent="0.35">
      <c r="A787" s="134">
        <v>45435</v>
      </c>
      <c r="B787" s="135">
        <v>4113</v>
      </c>
      <c r="C787" s="139">
        <f t="shared" si="24"/>
        <v>1.3416121521232907</v>
      </c>
      <c r="E787" s="136">
        <v>45435</v>
      </c>
      <c r="F787" s="137">
        <v>74253.53</v>
      </c>
      <c r="G787" s="139">
        <f t="shared" si="25"/>
        <v>0.11866700321118864</v>
      </c>
    </row>
    <row r="788" spans="1:7" ht="16.2" thickBot="1" x14ac:dyDescent="0.35">
      <c r="A788" s="134">
        <v>45436</v>
      </c>
      <c r="B788" s="135">
        <v>4122.3999999999996</v>
      </c>
      <c r="C788" s="139">
        <f t="shared" si="24"/>
        <v>0.22854364211037287</v>
      </c>
      <c r="E788" s="136">
        <v>45436</v>
      </c>
      <c r="F788" s="137">
        <v>75335.45</v>
      </c>
      <c r="G788" s="139">
        <f t="shared" si="25"/>
        <v>1.4570620413601862</v>
      </c>
    </row>
    <row r="789" spans="1:7" ht="16.2" thickBot="1" x14ac:dyDescent="0.35">
      <c r="A789" s="134">
        <v>45439</v>
      </c>
      <c r="B789" s="135">
        <v>4255.25</v>
      </c>
      <c r="C789" s="139">
        <f t="shared" si="24"/>
        <v>3.2226372986609833</v>
      </c>
      <c r="E789" s="136">
        <v>45439</v>
      </c>
      <c r="F789" s="137">
        <v>75655.460000000006</v>
      </c>
      <c r="G789" s="139">
        <f t="shared" si="25"/>
        <v>0.42478010020516149</v>
      </c>
    </row>
    <row r="790" spans="1:7" ht="16.2" thickBot="1" x14ac:dyDescent="0.35">
      <c r="A790" s="134">
        <v>45440</v>
      </c>
      <c r="B790" s="135">
        <v>4392.1000000000004</v>
      </c>
      <c r="C790" s="139">
        <f t="shared" si="24"/>
        <v>3.2160272604429907</v>
      </c>
      <c r="E790" s="136">
        <v>45440</v>
      </c>
      <c r="F790" s="137">
        <v>75585.399999999994</v>
      </c>
      <c r="G790" s="139">
        <f t="shared" si="25"/>
        <v>-9.2604023556280293E-2</v>
      </c>
    </row>
    <row r="791" spans="1:7" ht="16.2" thickBot="1" x14ac:dyDescent="0.35">
      <c r="A791" s="134">
        <v>45441</v>
      </c>
      <c r="B791" s="135">
        <v>4448</v>
      </c>
      <c r="C791" s="139">
        <f t="shared" si="24"/>
        <v>1.2727396917192146</v>
      </c>
      <c r="E791" s="136">
        <v>45441</v>
      </c>
      <c r="F791" s="137">
        <v>74826.94</v>
      </c>
      <c r="G791" s="139">
        <f t="shared" si="25"/>
        <v>-1.0034477557835135</v>
      </c>
    </row>
    <row r="792" spans="1:7" ht="16.2" thickBot="1" x14ac:dyDescent="0.35">
      <c r="A792" s="134">
        <v>45442</v>
      </c>
      <c r="B792" s="135">
        <v>4412.8</v>
      </c>
      <c r="C792" s="139">
        <f t="shared" si="24"/>
        <v>-0.791366906474816</v>
      </c>
      <c r="E792" s="136">
        <v>45442</v>
      </c>
      <c r="F792" s="137">
        <v>74365.88</v>
      </c>
      <c r="G792" s="139">
        <f t="shared" si="25"/>
        <v>-0.61616845483725202</v>
      </c>
    </row>
    <row r="793" spans="1:7" ht="16.2" thickBot="1" x14ac:dyDescent="0.35">
      <c r="A793" s="134">
        <v>45443</v>
      </c>
      <c r="B793" s="135">
        <v>4307.2</v>
      </c>
      <c r="C793" s="139">
        <f t="shared" si="24"/>
        <v>-2.3930384336475785</v>
      </c>
      <c r="E793" s="136">
        <v>45443</v>
      </c>
      <c r="F793" s="137">
        <v>74208.53</v>
      </c>
      <c r="G793" s="139">
        <f t="shared" si="25"/>
        <v>-0.2115889706408447</v>
      </c>
    </row>
    <row r="794" spans="1:7" ht="16.2" thickBot="1" x14ac:dyDescent="0.35">
      <c r="A794" s="140">
        <v>45446</v>
      </c>
      <c r="B794" s="135">
        <v>4321.8999999999996</v>
      </c>
      <c r="C794" s="139">
        <f t="shared" si="24"/>
        <v>0.34128900445764809</v>
      </c>
      <c r="E794" s="136">
        <v>45446</v>
      </c>
      <c r="F794" s="137">
        <v>76583.289999999994</v>
      </c>
      <c r="G794" s="139">
        <f t="shared" si="25"/>
        <v>3.200117291098469</v>
      </c>
    </row>
    <row r="795" spans="1:7" ht="16.2" thickBot="1" x14ac:dyDescent="0.35">
      <c r="A795" s="140">
        <v>45447</v>
      </c>
      <c r="B795" s="135">
        <v>4324.1499999999996</v>
      </c>
      <c r="C795" s="139">
        <f t="shared" si="24"/>
        <v>5.2060436382146746E-2</v>
      </c>
      <c r="E795" s="136">
        <v>45447</v>
      </c>
      <c r="F795" s="137">
        <v>76285.78</v>
      </c>
      <c r="G795" s="139">
        <f t="shared" si="25"/>
        <v>-0.38847900109801337</v>
      </c>
    </row>
    <row r="796" spans="1:7" ht="16.2" thickBot="1" x14ac:dyDescent="0.35">
      <c r="A796" s="140">
        <v>45448</v>
      </c>
      <c r="B796" s="135">
        <v>4502.7</v>
      </c>
      <c r="C796" s="139">
        <f t="shared" si="24"/>
        <v>4.1291352057629869</v>
      </c>
      <c r="E796" s="136">
        <v>45448</v>
      </c>
      <c r="F796" s="137">
        <v>73027.88</v>
      </c>
      <c r="G796" s="139">
        <f t="shared" si="25"/>
        <v>-4.2706517518730145</v>
      </c>
    </row>
    <row r="797" spans="1:7" ht="16.2" thickBot="1" x14ac:dyDescent="0.35">
      <c r="A797" s="140">
        <v>45449</v>
      </c>
      <c r="B797" s="135">
        <v>4448.8999999999996</v>
      </c>
      <c r="C797" s="139">
        <f t="shared" si="24"/>
        <v>-1.1948386523641412</v>
      </c>
      <c r="E797" s="136">
        <v>45449</v>
      </c>
      <c r="F797" s="137">
        <v>75078.7</v>
      </c>
      <c r="G797" s="139">
        <f t="shared" si="25"/>
        <v>2.8082699374540137</v>
      </c>
    </row>
    <row r="798" spans="1:7" ht="16.2" thickBot="1" x14ac:dyDescent="0.35">
      <c r="A798" s="140">
        <v>45450</v>
      </c>
      <c r="B798" s="135">
        <v>4524.05</v>
      </c>
      <c r="C798" s="139">
        <f t="shared" si="24"/>
        <v>1.6891815954505733</v>
      </c>
      <c r="E798" s="136">
        <v>45450</v>
      </c>
      <c r="F798" s="137">
        <v>75031.789999999994</v>
      </c>
      <c r="G798" s="139">
        <f t="shared" si="25"/>
        <v>-6.248110316241956E-2</v>
      </c>
    </row>
    <row r="799" spans="1:7" ht="16.2" thickBot="1" x14ac:dyDescent="0.35">
      <c r="A799" s="140">
        <v>45453</v>
      </c>
      <c r="B799" s="135">
        <v>4536.25</v>
      </c>
      <c r="C799" s="139">
        <f t="shared" si="24"/>
        <v>0.26966987544345927</v>
      </c>
      <c r="E799" s="136">
        <v>45453</v>
      </c>
      <c r="F799" s="137">
        <v>76935.41</v>
      </c>
      <c r="G799" s="139">
        <f t="shared" si="25"/>
        <v>2.5370846144014556</v>
      </c>
    </row>
    <row r="800" spans="1:7" ht="16.2" thickBot="1" x14ac:dyDescent="0.35">
      <c r="A800" s="140">
        <v>45454</v>
      </c>
      <c r="B800" s="135">
        <v>4475.45</v>
      </c>
      <c r="C800" s="139">
        <f t="shared" si="24"/>
        <v>-1.3403141361256583</v>
      </c>
      <c r="E800" s="136">
        <v>45454</v>
      </c>
      <c r="F800" s="137">
        <v>76680.899999999994</v>
      </c>
      <c r="G800" s="139">
        <f t="shared" si="25"/>
        <v>-0.33080996123892664</v>
      </c>
    </row>
    <row r="801" spans="1:7" ht="16.2" thickBot="1" x14ac:dyDescent="0.35">
      <c r="A801" s="140">
        <v>45455</v>
      </c>
      <c r="B801" s="135">
        <v>4452.3500000000004</v>
      </c>
      <c r="C801" s="139">
        <f t="shared" si="24"/>
        <v>-0.51614921404550285</v>
      </c>
      <c r="E801" s="136">
        <v>45455</v>
      </c>
      <c r="F801" s="137">
        <v>76679.11</v>
      </c>
      <c r="G801" s="139">
        <f t="shared" si="25"/>
        <v>-2.3343492316777676E-3</v>
      </c>
    </row>
    <row r="802" spans="1:7" ht="16.2" thickBot="1" x14ac:dyDescent="0.35">
      <c r="A802" s="134">
        <v>45456</v>
      </c>
      <c r="B802" s="135">
        <v>4593.5</v>
      </c>
      <c r="C802" s="139">
        <f t="shared" si="24"/>
        <v>3.1702359428167064</v>
      </c>
      <c r="E802" s="136">
        <v>45456</v>
      </c>
      <c r="F802" s="137">
        <v>77102.05</v>
      </c>
      <c r="G802" s="139">
        <f t="shared" si="25"/>
        <v>0.55157134713744371</v>
      </c>
    </row>
    <row r="803" spans="1:7" ht="16.2" thickBot="1" x14ac:dyDescent="0.35">
      <c r="A803" s="134">
        <v>45457</v>
      </c>
      <c r="B803" s="135">
        <v>4588.6000000000004</v>
      </c>
      <c r="C803" s="139">
        <f t="shared" si="24"/>
        <v>-0.10667247197125582</v>
      </c>
      <c r="E803" s="136">
        <v>45457</v>
      </c>
      <c r="F803" s="137">
        <v>76912.38</v>
      </c>
      <c r="G803" s="139">
        <f t="shared" si="25"/>
        <v>-0.2459986472473796</v>
      </c>
    </row>
    <row r="804" spans="1:7" ht="16.2" thickBot="1" x14ac:dyDescent="0.35">
      <c r="A804" s="134">
        <v>45461</v>
      </c>
      <c r="B804" s="135">
        <v>4564.5</v>
      </c>
      <c r="C804" s="139">
        <f t="shared" si="24"/>
        <v>-0.52521466242427672</v>
      </c>
      <c r="E804" s="136">
        <v>45461</v>
      </c>
      <c r="F804" s="137">
        <v>77235.31</v>
      </c>
      <c r="G804" s="139">
        <f t="shared" si="25"/>
        <v>0.41986738675879354</v>
      </c>
    </row>
    <row r="805" spans="1:7" ht="16.2" thickBot="1" x14ac:dyDescent="0.35">
      <c r="A805" s="134">
        <v>45462</v>
      </c>
      <c r="B805" s="135">
        <v>4479.7</v>
      </c>
      <c r="C805" s="139">
        <f t="shared" si="24"/>
        <v>-1.8578157519991276</v>
      </c>
      <c r="E805" s="136">
        <v>45462</v>
      </c>
      <c r="F805" s="137">
        <v>77543.22</v>
      </c>
      <c r="G805" s="139">
        <f t="shared" si="25"/>
        <v>0.39866480758606848</v>
      </c>
    </row>
    <row r="806" spans="1:7" ht="16.2" thickBot="1" x14ac:dyDescent="0.35">
      <c r="A806" s="134">
        <v>45463</v>
      </c>
      <c r="B806" s="135">
        <v>4504.05</v>
      </c>
      <c r="C806" s="139">
        <f t="shared" si="24"/>
        <v>0.54356318503472034</v>
      </c>
      <c r="E806" s="136">
        <v>45463</v>
      </c>
      <c r="F806" s="137">
        <v>77554.83</v>
      </c>
      <c r="G806" s="139">
        <f t="shared" si="25"/>
        <v>1.4972295450202587E-2</v>
      </c>
    </row>
    <row r="807" spans="1:7" ht="16.2" thickBot="1" x14ac:dyDescent="0.35">
      <c r="A807" s="134">
        <v>45464</v>
      </c>
      <c r="B807" s="135">
        <v>4522.1499999999996</v>
      </c>
      <c r="C807" s="139">
        <f t="shared" si="24"/>
        <v>0.40186054772925378</v>
      </c>
      <c r="E807" s="136">
        <v>45464</v>
      </c>
      <c r="F807" s="137">
        <v>77729.48</v>
      </c>
      <c r="G807" s="139">
        <f t="shared" si="25"/>
        <v>0.22519551651392203</v>
      </c>
    </row>
    <row r="808" spans="1:7" ht="16.2" thickBot="1" x14ac:dyDescent="0.35">
      <c r="A808" s="134">
        <v>45467</v>
      </c>
      <c r="B808" s="135">
        <v>4519.55</v>
      </c>
      <c r="C808" s="139">
        <f t="shared" si="24"/>
        <v>-5.7494775715079209E-2</v>
      </c>
      <c r="E808" s="136">
        <v>45467</v>
      </c>
      <c r="F808" s="137">
        <v>76885.649999999994</v>
      </c>
      <c r="G808" s="139">
        <f t="shared" si="25"/>
        <v>-1.0855984113106145</v>
      </c>
    </row>
    <row r="809" spans="1:7" ht="16.2" thickBot="1" x14ac:dyDescent="0.35">
      <c r="A809" s="134">
        <v>45468</v>
      </c>
      <c r="B809" s="135">
        <v>4539.3</v>
      </c>
      <c r="C809" s="139">
        <f t="shared" si="24"/>
        <v>0.43699040833711322</v>
      </c>
      <c r="E809" s="136">
        <v>45468</v>
      </c>
      <c r="F809" s="137">
        <v>77529.19</v>
      </c>
      <c r="G809" s="139">
        <f t="shared" si="25"/>
        <v>0.83700924684906497</v>
      </c>
    </row>
    <row r="810" spans="1:7" ht="16.2" thickBot="1" x14ac:dyDescent="0.35">
      <c r="A810" s="134">
        <v>45469</v>
      </c>
      <c r="B810" s="135">
        <v>4545.3500000000004</v>
      </c>
      <c r="C810" s="139">
        <f t="shared" si="24"/>
        <v>0.133280461745207</v>
      </c>
      <c r="E810" s="136">
        <v>45469</v>
      </c>
      <c r="F810" s="137">
        <v>78094.02</v>
      </c>
      <c r="G810" s="139">
        <f t="shared" si="25"/>
        <v>0.72853850272394405</v>
      </c>
    </row>
    <row r="811" spans="1:7" ht="16.2" thickBot="1" x14ac:dyDescent="0.35">
      <c r="A811" s="134">
        <v>45470</v>
      </c>
      <c r="B811" s="135">
        <v>4522.3500000000004</v>
      </c>
      <c r="C811" s="139">
        <f t="shared" si="24"/>
        <v>-0.50601163826768003</v>
      </c>
      <c r="E811" s="136">
        <v>45470</v>
      </c>
      <c r="F811" s="137">
        <v>78758.67</v>
      </c>
      <c r="G811" s="139">
        <f t="shared" si="25"/>
        <v>0.85108949443247273</v>
      </c>
    </row>
    <row r="812" spans="1:7" ht="16.2" thickBot="1" x14ac:dyDescent="0.35">
      <c r="A812" s="134">
        <v>45471</v>
      </c>
      <c r="B812" s="135">
        <v>4596.45</v>
      </c>
      <c r="C812" s="139">
        <f t="shared" si="24"/>
        <v>1.6385286410826108</v>
      </c>
      <c r="E812" s="136">
        <v>45471</v>
      </c>
      <c r="F812" s="137">
        <v>79457.58</v>
      </c>
      <c r="G812" s="139">
        <f t="shared" si="25"/>
        <v>0.88740706261292057</v>
      </c>
    </row>
    <row r="813" spans="1:7" ht="16.2" thickBot="1" x14ac:dyDescent="0.35">
      <c r="A813" s="140">
        <v>45474</v>
      </c>
      <c r="B813" s="135">
        <v>4602.1000000000004</v>
      </c>
      <c r="C813" s="139">
        <f t="shared" si="24"/>
        <v>0.12292094986349347</v>
      </c>
      <c r="E813" s="136">
        <v>45474</v>
      </c>
      <c r="F813" s="137">
        <v>79043.350000000006</v>
      </c>
      <c r="G813" s="139">
        <f t="shared" si="25"/>
        <v>-0.52132219481136466</v>
      </c>
    </row>
    <row r="814" spans="1:7" ht="16.2" thickBot="1" x14ac:dyDescent="0.35">
      <c r="A814" s="140">
        <v>45475</v>
      </c>
      <c r="B814" s="135">
        <v>4571.45</v>
      </c>
      <c r="C814" s="139">
        <f t="shared" si="24"/>
        <v>-0.66600030420895984</v>
      </c>
      <c r="E814" s="136">
        <v>45475</v>
      </c>
      <c r="F814" s="137">
        <v>79840.37</v>
      </c>
      <c r="G814" s="139">
        <f t="shared" si="25"/>
        <v>1.0083327692968345</v>
      </c>
    </row>
    <row r="815" spans="1:7" ht="16.2" thickBot="1" x14ac:dyDescent="0.35">
      <c r="A815" s="140">
        <v>45476</v>
      </c>
      <c r="B815" s="135">
        <v>4559.1499999999996</v>
      </c>
      <c r="C815" s="139">
        <f t="shared" si="24"/>
        <v>-0.26906123877544724</v>
      </c>
      <c r="E815" s="136">
        <v>45476</v>
      </c>
      <c r="F815" s="137">
        <v>80013.77</v>
      </c>
      <c r="G815" s="139">
        <f t="shared" si="25"/>
        <v>0.21718336225146342</v>
      </c>
    </row>
    <row r="816" spans="1:7" ht="16.2" thickBot="1" x14ac:dyDescent="0.35">
      <c r="A816" s="140">
        <v>45477</v>
      </c>
      <c r="B816" s="135">
        <v>4544.05</v>
      </c>
      <c r="C816" s="139">
        <f t="shared" si="24"/>
        <v>-0.33120208810851709</v>
      </c>
      <c r="E816" s="136">
        <v>45477</v>
      </c>
      <c r="F816" s="137">
        <v>80321.789999999994</v>
      </c>
      <c r="G816" s="139">
        <f t="shared" si="25"/>
        <v>0.38495873897704047</v>
      </c>
    </row>
    <row r="817" spans="1:7" ht="16.2" thickBot="1" x14ac:dyDescent="0.35">
      <c r="A817" s="140">
        <v>45478</v>
      </c>
      <c r="B817" s="135">
        <v>4629.7</v>
      </c>
      <c r="C817" s="139">
        <f t="shared" si="24"/>
        <v>1.8848824286704511</v>
      </c>
      <c r="E817" s="136">
        <v>45478</v>
      </c>
      <c r="F817" s="137">
        <v>79778.98</v>
      </c>
      <c r="G817" s="139">
        <f t="shared" si="25"/>
        <v>-0.67579420229553866</v>
      </c>
    </row>
    <row r="818" spans="1:7" ht="16.2" thickBot="1" x14ac:dyDescent="0.35">
      <c r="A818" s="140">
        <v>45481</v>
      </c>
      <c r="B818" s="135">
        <v>4464.2</v>
      </c>
      <c r="C818" s="139">
        <f t="shared" si="24"/>
        <v>-3.5747456638659094</v>
      </c>
      <c r="E818" s="136">
        <v>45481</v>
      </c>
      <c r="F818" s="137">
        <v>79915</v>
      </c>
      <c r="G818" s="139">
        <f t="shared" si="25"/>
        <v>0.17049603792879287</v>
      </c>
    </row>
    <row r="819" spans="1:7" ht="16.2" thickBot="1" x14ac:dyDescent="0.35">
      <c r="A819" s="140">
        <v>45482</v>
      </c>
      <c r="B819" s="135">
        <v>4551.95</v>
      </c>
      <c r="C819" s="139">
        <f t="shared" si="24"/>
        <v>1.9656377402446128</v>
      </c>
      <c r="E819" s="136">
        <v>45482</v>
      </c>
      <c r="F819" s="137">
        <v>80107.210000000006</v>
      </c>
      <c r="G819" s="139">
        <f t="shared" si="25"/>
        <v>0.24051805042858837</v>
      </c>
    </row>
    <row r="820" spans="1:7" ht="16.2" thickBot="1" x14ac:dyDescent="0.35">
      <c r="A820" s="140">
        <v>45483</v>
      </c>
      <c r="B820" s="135">
        <v>4636.95</v>
      </c>
      <c r="C820" s="139">
        <f t="shared" si="24"/>
        <v>1.8673315831676536</v>
      </c>
      <c r="E820" s="136">
        <v>45483</v>
      </c>
      <c r="F820" s="137">
        <v>80481.36</v>
      </c>
      <c r="G820" s="139">
        <f t="shared" si="25"/>
        <v>0.46706157910129958</v>
      </c>
    </row>
    <row r="821" spans="1:7" ht="16.2" thickBot="1" x14ac:dyDescent="0.35">
      <c r="A821" s="140">
        <v>45484</v>
      </c>
      <c r="B821" s="135">
        <v>4582.5</v>
      </c>
      <c r="C821" s="139">
        <f t="shared" si="24"/>
        <v>-1.1742632549412828</v>
      </c>
      <c r="E821" s="136">
        <v>45484</v>
      </c>
      <c r="F821" s="137">
        <v>80170.09</v>
      </c>
      <c r="G821" s="139">
        <f t="shared" si="25"/>
        <v>-0.3867603628964571</v>
      </c>
    </row>
    <row r="822" spans="1:7" ht="16.2" thickBot="1" x14ac:dyDescent="0.35">
      <c r="A822" s="140">
        <v>45485</v>
      </c>
      <c r="B822" s="135">
        <v>4539.3</v>
      </c>
      <c r="C822" s="139">
        <f t="shared" si="24"/>
        <v>-0.94271685761047075</v>
      </c>
      <c r="E822" s="136">
        <v>45485</v>
      </c>
      <c r="F822" s="137">
        <v>80093.62</v>
      </c>
      <c r="G822" s="139">
        <f t="shared" si="25"/>
        <v>-9.5384700204279638E-2</v>
      </c>
    </row>
    <row r="823" spans="1:7" ht="16.2" thickBot="1" x14ac:dyDescent="0.35">
      <c r="A823" s="134">
        <v>45488</v>
      </c>
      <c r="B823" s="135">
        <v>4575.3999999999996</v>
      </c>
      <c r="C823" s="139">
        <f t="shared" si="24"/>
        <v>0.79527680479367857</v>
      </c>
      <c r="E823" s="136">
        <v>45488</v>
      </c>
      <c r="F823" s="137">
        <v>80686.539999999994</v>
      </c>
      <c r="G823" s="139">
        <f t="shared" si="25"/>
        <v>0.74028368301994374</v>
      </c>
    </row>
    <row r="824" spans="1:7" ht="16.2" thickBot="1" x14ac:dyDescent="0.35">
      <c r="A824" s="134">
        <v>45489</v>
      </c>
      <c r="B824" s="135">
        <v>4570.8</v>
      </c>
      <c r="C824" s="139">
        <f t="shared" si="24"/>
        <v>-0.10053765790967904</v>
      </c>
      <c r="E824" s="136">
        <v>45489</v>
      </c>
      <c r="F824" s="137">
        <v>80731.490000000005</v>
      </c>
      <c r="G824" s="139">
        <f t="shared" si="25"/>
        <v>5.5709415721645325E-2</v>
      </c>
    </row>
    <row r="825" spans="1:7" ht="16.2" thickBot="1" x14ac:dyDescent="0.35">
      <c r="A825" s="134">
        <v>45491</v>
      </c>
      <c r="B825" s="135">
        <v>4584.8</v>
      </c>
      <c r="C825" s="139">
        <f t="shared" si="24"/>
        <v>0.30629211516583532</v>
      </c>
      <c r="E825" s="136">
        <v>45491</v>
      </c>
      <c r="F825" s="137">
        <v>80514.25</v>
      </c>
      <c r="G825" s="139">
        <f t="shared" si="25"/>
        <v>-0.26908954609905655</v>
      </c>
    </row>
    <row r="826" spans="1:7" ht="16.2" thickBot="1" x14ac:dyDescent="0.35">
      <c r="A826" s="134">
        <v>45492</v>
      </c>
      <c r="B826" s="135">
        <v>4519.8</v>
      </c>
      <c r="C826" s="139">
        <f t="shared" si="24"/>
        <v>-1.4177281451753621</v>
      </c>
      <c r="E826" s="136">
        <v>45492</v>
      </c>
      <c r="F826" s="137">
        <v>81585.06</v>
      </c>
      <c r="G826" s="139">
        <f t="shared" si="25"/>
        <v>1.3299633294727302</v>
      </c>
    </row>
    <row r="827" spans="1:7" ht="16.2" thickBot="1" x14ac:dyDescent="0.35">
      <c r="A827" s="134">
        <v>45495</v>
      </c>
      <c r="B827" s="135">
        <v>4534.8</v>
      </c>
      <c r="C827" s="139">
        <f t="shared" si="24"/>
        <v>0.33187309172972251</v>
      </c>
      <c r="E827" s="136">
        <v>45495</v>
      </c>
      <c r="F827" s="137">
        <v>80408.899999999994</v>
      </c>
      <c r="G827" s="139">
        <f t="shared" si="25"/>
        <v>-1.4416364957015457</v>
      </c>
    </row>
    <row r="828" spans="1:7" ht="16.2" thickBot="1" x14ac:dyDescent="0.35">
      <c r="A828" s="134">
        <v>45496</v>
      </c>
      <c r="B828" s="135">
        <v>4527</v>
      </c>
      <c r="C828" s="139">
        <f t="shared" si="24"/>
        <v>-0.17200317544324295</v>
      </c>
      <c r="E828" s="136">
        <v>45496</v>
      </c>
      <c r="F828" s="137">
        <v>80724.3</v>
      </c>
      <c r="G828" s="139">
        <f t="shared" si="25"/>
        <v>0.39224513704329844</v>
      </c>
    </row>
    <row r="829" spans="1:7" ht="16.2" thickBot="1" x14ac:dyDescent="0.35">
      <c r="A829" s="134">
        <v>45497</v>
      </c>
      <c r="B829" s="135">
        <v>4551.6000000000004</v>
      </c>
      <c r="C829" s="139">
        <f t="shared" si="24"/>
        <v>0.54340622929092919</v>
      </c>
      <c r="E829" s="136">
        <v>45497</v>
      </c>
      <c r="F829" s="137">
        <v>80343.38</v>
      </c>
      <c r="G829" s="139">
        <f t="shared" si="25"/>
        <v>-0.47187773693918467</v>
      </c>
    </row>
    <row r="830" spans="1:7" ht="16.2" thickBot="1" x14ac:dyDescent="0.35">
      <c r="A830" s="134">
        <v>45498</v>
      </c>
      <c r="B830" s="135">
        <v>4547</v>
      </c>
      <c r="C830" s="139">
        <f t="shared" si="24"/>
        <v>-0.10106336233413225</v>
      </c>
      <c r="E830" s="136">
        <v>45498</v>
      </c>
      <c r="F830" s="137">
        <v>79542.11</v>
      </c>
      <c r="G830" s="139">
        <f t="shared" si="25"/>
        <v>-0.99730680984544595</v>
      </c>
    </row>
    <row r="831" spans="1:7" ht="16.2" thickBot="1" x14ac:dyDescent="0.35">
      <c r="A831" s="134">
        <v>45499</v>
      </c>
      <c r="B831" s="135">
        <v>4790.6000000000004</v>
      </c>
      <c r="C831" s="139">
        <f t="shared" si="24"/>
        <v>5.3573784913129616</v>
      </c>
      <c r="E831" s="136">
        <v>45499</v>
      </c>
      <c r="F831" s="137">
        <v>80158.5</v>
      </c>
      <c r="G831" s="139">
        <f t="shared" si="25"/>
        <v>0.77492286789978215</v>
      </c>
    </row>
    <row r="832" spans="1:7" ht="16.2" thickBot="1" x14ac:dyDescent="0.35">
      <c r="A832" s="134">
        <v>45502</v>
      </c>
      <c r="B832" s="135">
        <v>4923.8500000000004</v>
      </c>
      <c r="C832" s="139">
        <f t="shared" si="24"/>
        <v>2.7814887487997328</v>
      </c>
      <c r="E832" s="136">
        <v>45502</v>
      </c>
      <c r="F832" s="137">
        <v>81679.649999999994</v>
      </c>
      <c r="G832" s="139">
        <f t="shared" si="25"/>
        <v>1.8976777260053448</v>
      </c>
    </row>
    <row r="833" spans="1:7" ht="16.2" thickBot="1" x14ac:dyDescent="0.35">
      <c r="A833" s="134">
        <v>45503</v>
      </c>
      <c r="B833" s="135">
        <v>4912.3500000000004</v>
      </c>
      <c r="C833" s="139">
        <f t="shared" si="24"/>
        <v>-0.23355707424068564</v>
      </c>
      <c r="E833" s="136">
        <v>45503</v>
      </c>
      <c r="F833" s="137">
        <v>81349.279999999999</v>
      </c>
      <c r="G833" s="139">
        <f t="shared" si="25"/>
        <v>-0.4044703913398201</v>
      </c>
    </row>
    <row r="834" spans="1:7" ht="16.2" thickBot="1" x14ac:dyDescent="0.35">
      <c r="A834" s="134">
        <v>45504</v>
      </c>
      <c r="B834" s="135">
        <v>4923.2</v>
      </c>
      <c r="C834" s="139">
        <f t="shared" si="24"/>
        <v>0.22087188412876635</v>
      </c>
      <c r="E834" s="136">
        <v>45504</v>
      </c>
      <c r="F834" s="137">
        <v>81655.899999999994</v>
      </c>
      <c r="G834" s="139">
        <f t="shared" si="25"/>
        <v>0.37691790265383462</v>
      </c>
    </row>
    <row r="835" spans="1:7" ht="16.2" thickBot="1" x14ac:dyDescent="0.35">
      <c r="A835" s="140">
        <v>45505</v>
      </c>
      <c r="B835" s="135">
        <v>4917.8999999999996</v>
      </c>
      <c r="C835" s="139">
        <f t="shared" si="24"/>
        <v>-0.10765355866103718</v>
      </c>
      <c r="E835" s="136">
        <v>45505</v>
      </c>
      <c r="F835" s="137">
        <v>81949.679999999993</v>
      </c>
      <c r="G835" s="139">
        <f t="shared" si="25"/>
        <v>0.3597780442074594</v>
      </c>
    </row>
    <row r="836" spans="1:7" ht="16.2" thickBot="1" x14ac:dyDescent="0.35">
      <c r="A836" s="140">
        <v>45506</v>
      </c>
      <c r="B836" s="135">
        <v>4991.25</v>
      </c>
      <c r="C836" s="139">
        <f t="shared" si="24"/>
        <v>1.4914902702373039</v>
      </c>
      <c r="E836" s="136">
        <v>45506</v>
      </c>
      <c r="F836" s="137">
        <v>81158.990000000005</v>
      </c>
      <c r="G836" s="139">
        <f t="shared" si="25"/>
        <v>-0.96484818488612512</v>
      </c>
    </row>
    <row r="837" spans="1:7" ht="16.2" thickBot="1" x14ac:dyDescent="0.35">
      <c r="A837" s="140">
        <v>45509</v>
      </c>
      <c r="B837" s="135">
        <v>4826.95</v>
      </c>
      <c r="C837" s="139">
        <f t="shared" si="24"/>
        <v>-3.2917605810167831</v>
      </c>
      <c r="E837" s="136">
        <v>45509</v>
      </c>
      <c r="F837" s="137">
        <v>78588.19</v>
      </c>
      <c r="G837" s="139">
        <f t="shared" si="25"/>
        <v>-3.1676096511304577</v>
      </c>
    </row>
    <row r="838" spans="1:7" ht="16.2" thickBot="1" x14ac:dyDescent="0.35">
      <c r="A838" s="140">
        <v>45510</v>
      </c>
      <c r="B838" s="135">
        <v>4827.55</v>
      </c>
      <c r="C838" s="139">
        <f t="shared" si="24"/>
        <v>1.2430209552623578E-2</v>
      </c>
      <c r="E838" s="136">
        <v>45510</v>
      </c>
      <c r="F838" s="137">
        <v>78981.97</v>
      </c>
      <c r="G838" s="139">
        <f t="shared" si="25"/>
        <v>0.50106765405845188</v>
      </c>
    </row>
    <row r="839" spans="1:7" ht="16.2" thickBot="1" x14ac:dyDescent="0.35">
      <c r="A839" s="140">
        <v>45511</v>
      </c>
      <c r="B839" s="135">
        <v>4946.5</v>
      </c>
      <c r="C839" s="139">
        <f t="shared" si="24"/>
        <v>2.4639827655850239</v>
      </c>
      <c r="E839" s="136">
        <v>45511</v>
      </c>
      <c r="F839" s="137">
        <v>79565.399999999994</v>
      </c>
      <c r="G839" s="139">
        <f t="shared" si="25"/>
        <v>0.73868757641774829</v>
      </c>
    </row>
    <row r="840" spans="1:7" ht="16.2" thickBot="1" x14ac:dyDescent="0.35">
      <c r="A840" s="140">
        <v>45512</v>
      </c>
      <c r="B840" s="135">
        <v>4834.5</v>
      </c>
      <c r="C840" s="139">
        <f t="shared" ref="C840:C903" si="26">(B840-B839)/B839*100</f>
        <v>-2.2642272313757204</v>
      </c>
      <c r="E840" s="136">
        <v>45512</v>
      </c>
      <c r="F840" s="137">
        <v>79420.490000000005</v>
      </c>
      <c r="G840" s="139">
        <f t="shared" ref="G840:G903" si="27">(F840-F839)/F839*100</f>
        <v>-0.18212690440818363</v>
      </c>
    </row>
    <row r="841" spans="1:7" ht="16.2" thickBot="1" x14ac:dyDescent="0.35">
      <c r="A841" s="140">
        <v>45513</v>
      </c>
      <c r="B841" s="135">
        <v>4829.95</v>
      </c>
      <c r="C841" s="139">
        <f t="shared" si="26"/>
        <v>-9.411521356914225E-2</v>
      </c>
      <c r="E841" s="136">
        <v>45513</v>
      </c>
      <c r="F841" s="137">
        <v>79984.240000000005</v>
      </c>
      <c r="G841" s="139">
        <f t="shared" si="27"/>
        <v>0.70982941555762247</v>
      </c>
    </row>
    <row r="842" spans="1:7" ht="16.2" thickBot="1" x14ac:dyDescent="0.35">
      <c r="A842" s="140">
        <v>45516</v>
      </c>
      <c r="B842" s="135">
        <v>4891</v>
      </c>
      <c r="C842" s="139">
        <f t="shared" si="26"/>
        <v>1.2639882400438966</v>
      </c>
      <c r="E842" s="136">
        <v>45516</v>
      </c>
      <c r="F842" s="137">
        <v>79330.12</v>
      </c>
      <c r="G842" s="139">
        <f t="shared" si="27"/>
        <v>-0.81781110878844354</v>
      </c>
    </row>
    <row r="843" spans="1:7" ht="16.2" thickBot="1" x14ac:dyDescent="0.35">
      <c r="A843" s="134">
        <v>45517</v>
      </c>
      <c r="B843" s="135">
        <v>4861.8</v>
      </c>
      <c r="C843" s="139">
        <f t="shared" si="26"/>
        <v>-0.59701492537313061</v>
      </c>
      <c r="E843" s="136">
        <v>45517</v>
      </c>
      <c r="F843" s="137">
        <v>79552.509999999995</v>
      </c>
      <c r="G843" s="139">
        <f t="shared" si="27"/>
        <v>0.28033488415244984</v>
      </c>
    </row>
    <row r="844" spans="1:7" ht="16.2" thickBot="1" x14ac:dyDescent="0.35">
      <c r="A844" s="134">
        <v>45518</v>
      </c>
      <c r="B844" s="135">
        <v>4662</v>
      </c>
      <c r="C844" s="139">
        <f t="shared" si="26"/>
        <v>-4.1095890410958935</v>
      </c>
      <c r="E844" s="136">
        <v>45518</v>
      </c>
      <c r="F844" s="137">
        <v>79065.22</v>
      </c>
      <c r="G844" s="139">
        <f t="shared" si="27"/>
        <v>-0.61253881241458452</v>
      </c>
    </row>
    <row r="845" spans="1:7" ht="16.2" thickBot="1" x14ac:dyDescent="0.35">
      <c r="A845" s="134">
        <v>45520</v>
      </c>
      <c r="B845" s="135">
        <v>4633.8999999999996</v>
      </c>
      <c r="C845" s="139">
        <f t="shared" si="26"/>
        <v>-0.60274560274561051</v>
      </c>
      <c r="E845" s="136">
        <v>45520</v>
      </c>
      <c r="F845" s="137">
        <v>79754.850000000006</v>
      </c>
      <c r="G845" s="139">
        <f t="shared" si="27"/>
        <v>0.87222928109224851</v>
      </c>
    </row>
    <row r="846" spans="1:7" ht="16.2" thickBot="1" x14ac:dyDescent="0.35">
      <c r="A846" s="134">
        <v>45523</v>
      </c>
      <c r="B846" s="135">
        <v>4669.8999999999996</v>
      </c>
      <c r="C846" s="139">
        <f t="shared" si="26"/>
        <v>0.77688340274930412</v>
      </c>
      <c r="E846" s="136">
        <v>45523</v>
      </c>
      <c r="F846" s="137">
        <v>80680.25</v>
      </c>
      <c r="G846" s="139">
        <f t="shared" si="27"/>
        <v>1.1603056115082584</v>
      </c>
    </row>
    <row r="847" spans="1:7" ht="16.2" thickBot="1" x14ac:dyDescent="0.35">
      <c r="A847" s="134">
        <v>45524</v>
      </c>
      <c r="B847" s="135">
        <v>4723.1499999999996</v>
      </c>
      <c r="C847" s="139">
        <f t="shared" si="26"/>
        <v>1.1402813764748709</v>
      </c>
      <c r="E847" s="136">
        <v>45524</v>
      </c>
      <c r="F847" s="137">
        <v>80722.539999999994</v>
      </c>
      <c r="G847" s="139">
        <f t="shared" si="27"/>
        <v>5.2416793453160596E-2</v>
      </c>
    </row>
    <row r="848" spans="1:7" ht="16.2" thickBot="1" x14ac:dyDescent="0.35">
      <c r="A848" s="134">
        <v>45525</v>
      </c>
      <c r="B848" s="135">
        <v>4900.8</v>
      </c>
      <c r="C848" s="139">
        <f t="shared" si="26"/>
        <v>3.7612610228343488</v>
      </c>
      <c r="E848" s="136">
        <v>45525</v>
      </c>
      <c r="F848" s="137">
        <v>80667.25</v>
      </c>
      <c r="G848" s="139">
        <f t="shared" si="27"/>
        <v>-6.8493880395727888E-2</v>
      </c>
    </row>
    <row r="849" spans="1:7" ht="16.2" thickBot="1" x14ac:dyDescent="0.35">
      <c r="A849" s="134">
        <v>45526</v>
      </c>
      <c r="B849" s="135">
        <v>4911.45</v>
      </c>
      <c r="C849" s="139">
        <f t="shared" si="26"/>
        <v>0.21731145935356749</v>
      </c>
      <c r="E849" s="136">
        <v>45526</v>
      </c>
      <c r="F849" s="137">
        <v>81207.240000000005</v>
      </c>
      <c r="G849" s="139">
        <f t="shared" si="27"/>
        <v>0.66940425017588334</v>
      </c>
    </row>
    <row r="850" spans="1:7" ht="16.2" thickBot="1" x14ac:dyDescent="0.35">
      <c r="A850" s="134">
        <v>45527</v>
      </c>
      <c r="B850" s="135">
        <v>4855.95</v>
      </c>
      <c r="C850" s="139">
        <f t="shared" si="26"/>
        <v>-1.1300125217603763</v>
      </c>
      <c r="E850" s="136">
        <v>45527</v>
      </c>
      <c r="F850" s="137">
        <v>81165.649999999994</v>
      </c>
      <c r="G850" s="139">
        <f t="shared" si="27"/>
        <v>-5.1214645393700194E-2</v>
      </c>
    </row>
    <row r="851" spans="1:7" ht="16.2" thickBot="1" x14ac:dyDescent="0.35">
      <c r="A851" s="134">
        <v>45530</v>
      </c>
      <c r="B851" s="135">
        <v>4926.25</v>
      </c>
      <c r="C851" s="139">
        <f t="shared" si="26"/>
        <v>1.4477084813476289</v>
      </c>
      <c r="E851" s="136">
        <v>45530</v>
      </c>
      <c r="F851" s="137">
        <v>81388.259999999995</v>
      </c>
      <c r="G851" s="139">
        <f t="shared" si="27"/>
        <v>0.27426626904361706</v>
      </c>
    </row>
    <row r="852" spans="1:7" ht="16.2" thickBot="1" x14ac:dyDescent="0.35">
      <c r="A852" s="134">
        <v>45531</v>
      </c>
      <c r="B852" s="135">
        <v>4902.5</v>
      </c>
      <c r="C852" s="139">
        <f t="shared" si="26"/>
        <v>-0.48211113930474497</v>
      </c>
      <c r="E852" s="136">
        <v>45531</v>
      </c>
      <c r="F852" s="137">
        <v>81815.23</v>
      </c>
      <c r="G852" s="139">
        <f t="shared" si="27"/>
        <v>0.52460883178974604</v>
      </c>
    </row>
    <row r="853" spans="1:7" ht="16.2" thickBot="1" x14ac:dyDescent="0.35">
      <c r="A853" s="134">
        <v>45532</v>
      </c>
      <c r="B853" s="135">
        <v>5030.7</v>
      </c>
      <c r="C853" s="139">
        <f t="shared" si="26"/>
        <v>2.6149923508414039</v>
      </c>
      <c r="E853" s="136">
        <v>45532</v>
      </c>
      <c r="F853" s="137">
        <v>81779.839999999997</v>
      </c>
      <c r="G853" s="139">
        <f t="shared" si="27"/>
        <v>-4.325600502498058E-2</v>
      </c>
    </row>
    <row r="854" spans="1:7" ht="16.2" thickBot="1" x14ac:dyDescent="0.35">
      <c r="A854" s="134">
        <v>45533</v>
      </c>
      <c r="B854" s="135">
        <v>5012.55</v>
      </c>
      <c r="C854" s="139">
        <f t="shared" si="26"/>
        <v>-0.36078478144193921</v>
      </c>
      <c r="E854" s="136">
        <v>45533</v>
      </c>
      <c r="F854" s="137">
        <v>81822.559999999998</v>
      </c>
      <c r="G854" s="139">
        <f t="shared" si="27"/>
        <v>5.2237813133409368E-2</v>
      </c>
    </row>
    <row r="855" spans="1:7" ht="16.2" thickBot="1" x14ac:dyDescent="0.35">
      <c r="A855" s="134">
        <v>45534</v>
      </c>
      <c r="B855" s="135">
        <v>5093.8999999999996</v>
      </c>
      <c r="C855" s="139">
        <f t="shared" si="26"/>
        <v>1.6229264545989455</v>
      </c>
      <c r="E855" s="136">
        <v>45534</v>
      </c>
      <c r="F855" s="137">
        <v>82637.03</v>
      </c>
      <c r="G855" s="139">
        <f t="shared" si="27"/>
        <v>0.99541006783459374</v>
      </c>
    </row>
    <row r="856" spans="1:7" ht="16.2" thickBot="1" x14ac:dyDescent="0.35">
      <c r="A856" s="140">
        <v>45537</v>
      </c>
      <c r="B856" s="135">
        <v>5036.8500000000004</v>
      </c>
      <c r="C856" s="139">
        <f t="shared" si="26"/>
        <v>-1.1199670193761022</v>
      </c>
      <c r="E856" s="136">
        <v>45537</v>
      </c>
      <c r="F856" s="137">
        <v>82725.279999999999</v>
      </c>
      <c r="G856" s="139">
        <f t="shared" si="27"/>
        <v>0.10679231816535517</v>
      </c>
    </row>
    <row r="857" spans="1:7" ht="16.2" thickBot="1" x14ac:dyDescent="0.35">
      <c r="A857" s="140">
        <v>45538</v>
      </c>
      <c r="B857" s="135">
        <v>5066</v>
      </c>
      <c r="C857" s="139">
        <f t="shared" si="26"/>
        <v>0.57873472507618118</v>
      </c>
      <c r="E857" s="136">
        <v>45538</v>
      </c>
      <c r="F857" s="137">
        <v>82652.69</v>
      </c>
      <c r="G857" s="139">
        <f t="shared" si="27"/>
        <v>-8.7748267518703488E-2</v>
      </c>
    </row>
    <row r="858" spans="1:7" ht="16.2" thickBot="1" x14ac:dyDescent="0.35">
      <c r="A858" s="140">
        <v>45539</v>
      </c>
      <c r="B858" s="135">
        <v>5096.6000000000004</v>
      </c>
      <c r="C858" s="139">
        <f t="shared" si="26"/>
        <v>0.60402684563759101</v>
      </c>
      <c r="E858" s="136">
        <v>45539</v>
      </c>
      <c r="F858" s="137">
        <v>81845.5</v>
      </c>
      <c r="G858" s="139">
        <f t="shared" si="27"/>
        <v>-0.9766046331946393</v>
      </c>
    </row>
    <row r="859" spans="1:7" ht="16.2" thickBot="1" x14ac:dyDescent="0.35">
      <c r="A859" s="140">
        <v>45540</v>
      </c>
      <c r="B859" s="135">
        <v>5120.8999999999996</v>
      </c>
      <c r="C859" s="139">
        <f t="shared" si="26"/>
        <v>0.47678844720007985</v>
      </c>
      <c r="E859" s="136">
        <v>45540</v>
      </c>
      <c r="F859" s="137">
        <v>82469.789999999994</v>
      </c>
      <c r="G859" s="139">
        <f t="shared" si="27"/>
        <v>0.76276643187468296</v>
      </c>
    </row>
    <row r="860" spans="1:7" ht="16.2" thickBot="1" x14ac:dyDescent="0.35">
      <c r="A860" s="140">
        <v>45541</v>
      </c>
      <c r="B860" s="135">
        <v>5137.8</v>
      </c>
      <c r="C860" s="139">
        <f t="shared" si="26"/>
        <v>0.33002011365190781</v>
      </c>
      <c r="E860" s="136">
        <v>45541</v>
      </c>
      <c r="F860" s="137">
        <v>82171.08</v>
      </c>
      <c r="G860" s="139">
        <f t="shared" si="27"/>
        <v>-0.36220536029010364</v>
      </c>
    </row>
    <row r="861" spans="1:7" ht="16.2" thickBot="1" x14ac:dyDescent="0.35">
      <c r="A861" s="140">
        <v>45544</v>
      </c>
      <c r="B861" s="135">
        <v>5173.5</v>
      </c>
      <c r="C861" s="139">
        <f t="shared" si="26"/>
        <v>0.6948499357701704</v>
      </c>
      <c r="E861" s="136">
        <v>45544</v>
      </c>
      <c r="F861" s="137">
        <v>80973.75</v>
      </c>
      <c r="G861" s="139">
        <f t="shared" si="27"/>
        <v>-1.4571184898628589</v>
      </c>
    </row>
    <row r="862" spans="1:7" ht="16.2" thickBot="1" x14ac:dyDescent="0.35">
      <c r="A862" s="140">
        <v>45545</v>
      </c>
      <c r="B862" s="135">
        <v>5426.45</v>
      </c>
      <c r="C862" s="139">
        <f t="shared" si="26"/>
        <v>4.8893399052865529</v>
      </c>
      <c r="E862" s="136">
        <v>45545</v>
      </c>
      <c r="F862" s="137">
        <v>81768.72</v>
      </c>
      <c r="G862" s="139">
        <f t="shared" si="27"/>
        <v>0.98176260825267592</v>
      </c>
    </row>
    <row r="863" spans="1:7" ht="16.2" thickBot="1" x14ac:dyDescent="0.35">
      <c r="A863" s="140">
        <v>45546</v>
      </c>
      <c r="B863" s="135">
        <v>5439.3</v>
      </c>
      <c r="C863" s="139">
        <f t="shared" si="26"/>
        <v>0.23680306646150551</v>
      </c>
      <c r="E863" s="136">
        <v>45546</v>
      </c>
      <c r="F863" s="137">
        <v>81928.12</v>
      </c>
      <c r="G863" s="139">
        <f t="shared" si="27"/>
        <v>0.19494006999252791</v>
      </c>
    </row>
    <row r="864" spans="1:7" ht="16.2" thickBot="1" x14ac:dyDescent="0.35">
      <c r="A864" s="140">
        <v>45547</v>
      </c>
      <c r="B864" s="135">
        <v>5482.8</v>
      </c>
      <c r="C864" s="139">
        <f t="shared" si="26"/>
        <v>0.79973526005184481</v>
      </c>
      <c r="E864" s="136">
        <v>45547</v>
      </c>
      <c r="F864" s="137">
        <v>81930.179999999993</v>
      </c>
      <c r="G864" s="139">
        <f t="shared" si="27"/>
        <v>2.5143992074975864E-3</v>
      </c>
    </row>
    <row r="865" spans="1:7" ht="16.2" thickBot="1" x14ac:dyDescent="0.35">
      <c r="A865" s="134">
        <v>45548</v>
      </c>
      <c r="B865" s="135">
        <v>5498.65</v>
      </c>
      <c r="C865" s="139">
        <f t="shared" si="26"/>
        <v>0.28908586853431556</v>
      </c>
      <c r="E865" s="136">
        <v>45548</v>
      </c>
      <c r="F865" s="137">
        <v>83091.55</v>
      </c>
      <c r="G865" s="139">
        <f t="shared" si="27"/>
        <v>1.4175118375182503</v>
      </c>
    </row>
    <row r="866" spans="1:7" ht="16.2" thickBot="1" x14ac:dyDescent="0.35">
      <c r="A866" s="134">
        <v>45551</v>
      </c>
      <c r="B866" s="135">
        <v>5479.35</v>
      </c>
      <c r="C866" s="139">
        <f t="shared" si="26"/>
        <v>-0.3509952442872209</v>
      </c>
      <c r="E866" s="136">
        <v>45551</v>
      </c>
      <c r="F866" s="137">
        <v>82985.33</v>
      </c>
      <c r="G866" s="139">
        <f t="shared" si="27"/>
        <v>-0.12783490017938187</v>
      </c>
    </row>
    <row r="867" spans="1:7" ht="16.2" thickBot="1" x14ac:dyDescent="0.35">
      <c r="A867" s="134">
        <v>45552</v>
      </c>
      <c r="B867" s="135">
        <v>5452.2</v>
      </c>
      <c r="C867" s="139">
        <f t="shared" si="26"/>
        <v>-0.49549672862658056</v>
      </c>
      <c r="E867" s="136">
        <v>45552</v>
      </c>
      <c r="F867" s="137">
        <v>83084.63</v>
      </c>
      <c r="G867" s="139">
        <f t="shared" si="27"/>
        <v>0.11965970370908076</v>
      </c>
    </row>
    <row r="868" spans="1:7" ht="16.2" thickBot="1" x14ac:dyDescent="0.35">
      <c r="A868" s="134">
        <v>45553</v>
      </c>
      <c r="B868" s="135">
        <v>5469.15</v>
      </c>
      <c r="C868" s="139">
        <f t="shared" si="26"/>
        <v>0.31088367998238908</v>
      </c>
      <c r="E868" s="136">
        <v>45553</v>
      </c>
      <c r="F868" s="137">
        <v>83037.13</v>
      </c>
      <c r="G868" s="139">
        <f t="shared" si="27"/>
        <v>-5.7170622291993115E-2</v>
      </c>
    </row>
    <row r="869" spans="1:7" ht="16.2" thickBot="1" x14ac:dyDescent="0.35">
      <c r="A869" s="134">
        <v>45554</v>
      </c>
      <c r="B869" s="135">
        <v>5429.2</v>
      </c>
      <c r="C869" s="139">
        <f t="shared" si="26"/>
        <v>-0.73046085772011771</v>
      </c>
      <c r="E869" s="136">
        <v>45554</v>
      </c>
      <c r="F869" s="137">
        <v>83359.17</v>
      </c>
      <c r="G869" s="139">
        <f t="shared" si="27"/>
        <v>0.38782650604614294</v>
      </c>
    </row>
    <row r="870" spans="1:7" ht="16.2" thickBot="1" x14ac:dyDescent="0.35">
      <c r="A870" s="134">
        <v>45555</v>
      </c>
      <c r="B870" s="135">
        <v>5450.75</v>
      </c>
      <c r="C870" s="139">
        <f t="shared" si="26"/>
        <v>0.39692772415825872</v>
      </c>
      <c r="E870" s="136">
        <v>45555</v>
      </c>
      <c r="F870" s="137">
        <v>83603.039999999994</v>
      </c>
      <c r="G870" s="139">
        <f t="shared" si="27"/>
        <v>0.29255329677586206</v>
      </c>
    </row>
    <row r="871" spans="1:7" ht="16.2" thickBot="1" x14ac:dyDescent="0.35">
      <c r="A871" s="134">
        <v>45558</v>
      </c>
      <c r="B871" s="135">
        <v>5372.85</v>
      </c>
      <c r="C871" s="139">
        <f t="shared" si="26"/>
        <v>-1.429161124615872</v>
      </c>
      <c r="E871" s="136">
        <v>45558</v>
      </c>
      <c r="F871" s="137">
        <v>84651.15</v>
      </c>
      <c r="G871" s="139">
        <f t="shared" si="27"/>
        <v>1.2536745075298705</v>
      </c>
    </row>
    <row r="872" spans="1:7" ht="16.2" thickBot="1" x14ac:dyDescent="0.35">
      <c r="A872" s="134">
        <v>45559</v>
      </c>
      <c r="B872" s="135">
        <v>5375.8</v>
      </c>
      <c r="C872" s="139">
        <f t="shared" si="26"/>
        <v>5.490568320351058E-2</v>
      </c>
      <c r="E872" s="136">
        <v>45559</v>
      </c>
      <c r="F872" s="137">
        <v>84860.73</v>
      </c>
      <c r="G872" s="139">
        <f t="shared" si="27"/>
        <v>0.24758080663995916</v>
      </c>
    </row>
    <row r="873" spans="1:7" ht="16.2" thickBot="1" x14ac:dyDescent="0.35">
      <c r="A873" s="134">
        <v>45560</v>
      </c>
      <c r="B873" s="135">
        <v>5394.3</v>
      </c>
      <c r="C873" s="139">
        <f t="shared" si="26"/>
        <v>0.34413482644443616</v>
      </c>
      <c r="E873" s="136">
        <v>45560</v>
      </c>
      <c r="F873" s="137">
        <v>84836.45</v>
      </c>
      <c r="G873" s="139">
        <f t="shared" si="27"/>
        <v>-2.8611585123058496E-2</v>
      </c>
    </row>
    <row r="874" spans="1:7" ht="16.2" thickBot="1" x14ac:dyDescent="0.35">
      <c r="A874" s="134">
        <v>45561</v>
      </c>
      <c r="B874" s="135">
        <v>5379.3</v>
      </c>
      <c r="C874" s="139">
        <f t="shared" si="26"/>
        <v>-0.27807129748067405</v>
      </c>
      <c r="E874" s="136">
        <v>45561</v>
      </c>
      <c r="F874" s="137">
        <v>85167.56</v>
      </c>
      <c r="G874" s="139">
        <f t="shared" si="27"/>
        <v>0.39029214447327842</v>
      </c>
    </row>
    <row r="875" spans="1:7" ht="16.2" thickBot="1" x14ac:dyDescent="0.35">
      <c r="A875" s="134">
        <v>45562</v>
      </c>
      <c r="B875" s="135">
        <v>5457.9</v>
      </c>
      <c r="C875" s="139">
        <f t="shared" si="26"/>
        <v>1.4611566560704823</v>
      </c>
      <c r="E875" s="136">
        <v>45562</v>
      </c>
      <c r="F875" s="137">
        <v>85893.84</v>
      </c>
      <c r="G875" s="139">
        <f t="shared" si="27"/>
        <v>0.85276600621175347</v>
      </c>
    </row>
    <row r="876" spans="1:7" ht="16.2" thickBot="1" x14ac:dyDescent="0.35">
      <c r="A876" s="134">
        <v>45565</v>
      </c>
      <c r="B876" s="135">
        <v>5443.35</v>
      </c>
      <c r="C876" s="139">
        <f t="shared" si="26"/>
        <v>-0.26658604957949528</v>
      </c>
      <c r="E876" s="136">
        <v>45565</v>
      </c>
      <c r="F876" s="137">
        <v>85208.76</v>
      </c>
      <c r="G876" s="139">
        <f t="shared" si="27"/>
        <v>-0.79758921012263706</v>
      </c>
    </row>
    <row r="877" spans="1:7" ht="16.2" thickBot="1" x14ac:dyDescent="0.35">
      <c r="A877" s="140">
        <v>45566</v>
      </c>
      <c r="B877" s="135">
        <v>5423.8</v>
      </c>
      <c r="C877" s="139">
        <f t="shared" si="26"/>
        <v>-0.35915382990254496</v>
      </c>
      <c r="E877" s="136">
        <v>45566</v>
      </c>
      <c r="F877" s="137">
        <v>84257.17</v>
      </c>
      <c r="G877" s="139">
        <f t="shared" si="27"/>
        <v>-1.1167748480320527</v>
      </c>
    </row>
    <row r="878" spans="1:7" ht="16.2" thickBot="1" x14ac:dyDescent="0.35">
      <c r="A878" s="140">
        <v>45568</v>
      </c>
      <c r="B878" s="135">
        <v>5430.3</v>
      </c>
      <c r="C878" s="139">
        <f t="shared" si="26"/>
        <v>0.11984217707142594</v>
      </c>
      <c r="E878" s="136">
        <v>45568</v>
      </c>
      <c r="F878" s="137">
        <v>83002.09</v>
      </c>
      <c r="G878" s="139">
        <f t="shared" si="27"/>
        <v>-1.4895824296021356</v>
      </c>
    </row>
    <row r="879" spans="1:7" ht="16.2" thickBot="1" x14ac:dyDescent="0.35">
      <c r="A879" s="140">
        <v>45569</v>
      </c>
      <c r="B879" s="135">
        <v>5425.55</v>
      </c>
      <c r="C879" s="139">
        <f t="shared" si="26"/>
        <v>-8.7472147026867758E-2</v>
      </c>
      <c r="E879" s="136">
        <v>45569</v>
      </c>
      <c r="F879" s="137">
        <v>82244.25</v>
      </c>
      <c r="G879" s="139">
        <f t="shared" si="27"/>
        <v>-0.91303725002586866</v>
      </c>
    </row>
    <row r="880" spans="1:7" ht="16.2" thickBot="1" x14ac:dyDescent="0.35">
      <c r="A880" s="140">
        <v>45572</v>
      </c>
      <c r="B880" s="135">
        <v>5404.35</v>
      </c>
      <c r="C880" s="139">
        <f t="shared" si="26"/>
        <v>-0.3907437955598938</v>
      </c>
      <c r="E880" s="136">
        <v>45572</v>
      </c>
      <c r="F880" s="137">
        <v>81926.990000000005</v>
      </c>
      <c r="G880" s="139">
        <f t="shared" si="27"/>
        <v>-0.38575341133270075</v>
      </c>
    </row>
    <row r="881" spans="1:7" ht="16.2" thickBot="1" x14ac:dyDescent="0.35">
      <c r="A881" s="140">
        <v>45573</v>
      </c>
      <c r="B881" s="135">
        <v>5547.05</v>
      </c>
      <c r="C881" s="139">
        <f t="shared" si="26"/>
        <v>2.6404655508988095</v>
      </c>
      <c r="E881" s="136">
        <v>45573</v>
      </c>
      <c r="F881" s="137">
        <v>80826.559999999998</v>
      </c>
      <c r="G881" s="139">
        <f t="shared" si="27"/>
        <v>-1.3431837298062672</v>
      </c>
    </row>
    <row r="882" spans="1:7" ht="16.2" thickBot="1" x14ac:dyDescent="0.35">
      <c r="A882" s="140">
        <v>45574</v>
      </c>
      <c r="B882" s="135">
        <v>5989.75</v>
      </c>
      <c r="C882" s="139">
        <f t="shared" si="26"/>
        <v>7.9808186333276216</v>
      </c>
      <c r="E882" s="136">
        <v>45574</v>
      </c>
      <c r="F882" s="137">
        <v>81954.58</v>
      </c>
      <c r="G882" s="139">
        <f t="shared" si="27"/>
        <v>1.3956056029107315</v>
      </c>
    </row>
    <row r="883" spans="1:7" ht="16.2" thickBot="1" x14ac:dyDescent="0.35">
      <c r="A883" s="140">
        <v>45575</v>
      </c>
      <c r="B883" s="135">
        <v>5942.15</v>
      </c>
      <c r="C883" s="139">
        <f t="shared" si="26"/>
        <v>-0.7946909303393358</v>
      </c>
      <c r="E883" s="136">
        <v>45575</v>
      </c>
      <c r="F883" s="137">
        <v>81832.66</v>
      </c>
      <c r="G883" s="139">
        <f t="shared" si="27"/>
        <v>-0.14876532830745792</v>
      </c>
    </row>
    <row r="884" spans="1:7" ht="16.2" thickBot="1" x14ac:dyDescent="0.35">
      <c r="A884" s="140">
        <v>45576</v>
      </c>
      <c r="B884" s="135">
        <v>6142.25</v>
      </c>
      <c r="C884" s="139">
        <f t="shared" si="26"/>
        <v>3.3674680040052904</v>
      </c>
      <c r="E884" s="136">
        <v>45576</v>
      </c>
      <c r="F884" s="137">
        <v>81478.490000000005</v>
      </c>
      <c r="G884" s="139">
        <f t="shared" si="27"/>
        <v>-0.43279785845895546</v>
      </c>
    </row>
    <row r="885" spans="1:7" ht="16.2" thickBot="1" x14ac:dyDescent="0.35">
      <c r="A885" s="134">
        <v>45579</v>
      </c>
      <c r="B885" s="135">
        <v>6214.85</v>
      </c>
      <c r="C885" s="139">
        <f t="shared" si="26"/>
        <v>1.1819772884529345</v>
      </c>
      <c r="E885" s="136">
        <v>45579</v>
      </c>
      <c r="F885" s="137">
        <v>81576.929999999993</v>
      </c>
      <c r="G885" s="139">
        <f t="shared" si="27"/>
        <v>0.12081716291009784</v>
      </c>
    </row>
    <row r="886" spans="1:7" ht="16.2" thickBot="1" x14ac:dyDescent="0.35">
      <c r="A886" s="134">
        <v>45580</v>
      </c>
      <c r="B886" s="135">
        <v>6106.7</v>
      </c>
      <c r="C886" s="139">
        <f t="shared" si="26"/>
        <v>-1.7401868106229523</v>
      </c>
      <c r="E886" s="136">
        <v>45580</v>
      </c>
      <c r="F886" s="137">
        <v>82101.86</v>
      </c>
      <c r="G886" s="139">
        <f t="shared" si="27"/>
        <v>0.64347849324558748</v>
      </c>
    </row>
    <row r="887" spans="1:7" ht="16.2" thickBot="1" x14ac:dyDescent="0.35">
      <c r="A887" s="134">
        <v>45581</v>
      </c>
      <c r="B887" s="135">
        <v>6123.65</v>
      </c>
      <c r="C887" s="139">
        <f t="shared" si="26"/>
        <v>0.27756398709613733</v>
      </c>
      <c r="E887" s="136">
        <v>45581</v>
      </c>
      <c r="F887" s="137">
        <v>81646.600000000006</v>
      </c>
      <c r="G887" s="139">
        <f t="shared" si="27"/>
        <v>-0.55450631690925722</v>
      </c>
    </row>
    <row r="888" spans="1:7" ht="16.2" thickBot="1" x14ac:dyDescent="0.35">
      <c r="A888" s="134">
        <v>45582</v>
      </c>
      <c r="B888" s="135">
        <v>6077.4</v>
      </c>
      <c r="C888" s="139">
        <f t="shared" si="26"/>
        <v>-0.75526850816098245</v>
      </c>
      <c r="E888" s="136">
        <v>45582</v>
      </c>
      <c r="F888" s="137">
        <v>81758.070000000007</v>
      </c>
      <c r="G888" s="139">
        <f t="shared" si="27"/>
        <v>0.13652742428956155</v>
      </c>
    </row>
    <row r="889" spans="1:7" ht="16.2" thickBot="1" x14ac:dyDescent="0.35">
      <c r="A889" s="134">
        <v>45583</v>
      </c>
      <c r="B889" s="135">
        <v>6022.25</v>
      </c>
      <c r="C889" s="139">
        <f t="shared" si="26"/>
        <v>-0.90746042715634379</v>
      </c>
      <c r="E889" s="136">
        <v>45583</v>
      </c>
      <c r="F889" s="137">
        <v>80749.259999999995</v>
      </c>
      <c r="G889" s="139">
        <f t="shared" si="27"/>
        <v>-1.2338965437907379</v>
      </c>
    </row>
    <row r="890" spans="1:7" ht="16.2" thickBot="1" x14ac:dyDescent="0.35">
      <c r="A890" s="134">
        <v>45586</v>
      </c>
      <c r="B890" s="135">
        <v>5925</v>
      </c>
      <c r="C890" s="139">
        <f t="shared" si="26"/>
        <v>-1.6148449499771682</v>
      </c>
      <c r="E890" s="136">
        <v>45586</v>
      </c>
      <c r="F890" s="137">
        <v>81770.02</v>
      </c>
      <c r="G890" s="139">
        <f t="shared" si="27"/>
        <v>1.2641106556270725</v>
      </c>
    </row>
    <row r="891" spans="1:7" ht="16.2" thickBot="1" x14ac:dyDescent="0.35">
      <c r="A891" s="134">
        <v>45587</v>
      </c>
      <c r="B891" s="135">
        <v>5817.95</v>
      </c>
      <c r="C891" s="139">
        <f t="shared" si="26"/>
        <v>-1.806751054852324</v>
      </c>
      <c r="E891" s="136">
        <v>45587</v>
      </c>
      <c r="F891" s="137">
        <v>81155.08</v>
      </c>
      <c r="G891" s="139">
        <f t="shared" si="27"/>
        <v>-0.75203601515567964</v>
      </c>
    </row>
    <row r="892" spans="1:7" ht="16.2" thickBot="1" x14ac:dyDescent="0.35">
      <c r="A892" s="134">
        <v>45588</v>
      </c>
      <c r="B892" s="135">
        <v>5727.6</v>
      </c>
      <c r="C892" s="139">
        <f t="shared" si="26"/>
        <v>-1.5529525004511804</v>
      </c>
      <c r="E892" s="136">
        <v>45588</v>
      </c>
      <c r="F892" s="137">
        <v>79921.13</v>
      </c>
      <c r="G892" s="139">
        <f t="shared" si="27"/>
        <v>-1.5204839918831909</v>
      </c>
    </row>
    <row r="893" spans="1:7" ht="16.2" thickBot="1" x14ac:dyDescent="0.35">
      <c r="A893" s="134">
        <v>45589</v>
      </c>
      <c r="B893" s="135">
        <v>5736.65</v>
      </c>
      <c r="C893" s="139">
        <f t="shared" si="26"/>
        <v>0.15800684405334298</v>
      </c>
      <c r="E893" s="136">
        <v>45589</v>
      </c>
      <c r="F893" s="137">
        <v>80098.3</v>
      </c>
      <c r="G893" s="139">
        <f t="shared" si="27"/>
        <v>0.2216810498049743</v>
      </c>
    </row>
    <row r="894" spans="1:7" ht="16.2" thickBot="1" x14ac:dyDescent="0.35">
      <c r="A894" s="134">
        <v>45590</v>
      </c>
      <c r="B894" s="135">
        <v>5780.75</v>
      </c>
      <c r="C894" s="139">
        <f t="shared" si="26"/>
        <v>0.76874133858611504</v>
      </c>
      <c r="E894" s="136">
        <v>45590</v>
      </c>
      <c r="F894" s="137">
        <v>80187.34</v>
      </c>
      <c r="G894" s="139">
        <f t="shared" si="27"/>
        <v>0.11116340796245812</v>
      </c>
    </row>
    <row r="895" spans="1:7" ht="16.2" thickBot="1" x14ac:dyDescent="0.35">
      <c r="A895" s="134">
        <v>45593</v>
      </c>
      <c r="B895" s="135">
        <v>5814.4</v>
      </c>
      <c r="C895" s="139">
        <f t="shared" si="26"/>
        <v>0.58210439821821802</v>
      </c>
      <c r="E895" s="136">
        <v>45593</v>
      </c>
      <c r="F895" s="137">
        <v>79653.67</v>
      </c>
      <c r="G895" s="139">
        <f t="shared" si="27"/>
        <v>-0.66552899747017202</v>
      </c>
    </row>
    <row r="896" spans="1:7" ht="16.2" thickBot="1" x14ac:dyDescent="0.35">
      <c r="A896" s="134">
        <v>45594</v>
      </c>
      <c r="B896" s="135">
        <v>5803.35</v>
      </c>
      <c r="C896" s="139">
        <f t="shared" si="26"/>
        <v>-0.1900454045129209</v>
      </c>
      <c r="E896" s="136">
        <v>45594</v>
      </c>
      <c r="F896" s="137">
        <v>80037.2</v>
      </c>
      <c r="G896" s="139">
        <f t="shared" si="27"/>
        <v>0.48149696052924973</v>
      </c>
    </row>
    <row r="897" spans="1:7" ht="16.2" thickBot="1" x14ac:dyDescent="0.35">
      <c r="A897" s="134">
        <v>45595</v>
      </c>
      <c r="B897" s="135">
        <v>5886.6</v>
      </c>
      <c r="C897" s="139">
        <f t="shared" si="26"/>
        <v>1.4345162707746388</v>
      </c>
      <c r="E897" s="136">
        <v>45595</v>
      </c>
      <c r="F897" s="137">
        <v>80237.850000000006</v>
      </c>
      <c r="G897" s="139">
        <f t="shared" si="27"/>
        <v>0.2506959263942376</v>
      </c>
    </row>
    <row r="898" spans="1:7" ht="16.2" thickBot="1" x14ac:dyDescent="0.35">
      <c r="A898" s="134">
        <v>45596</v>
      </c>
      <c r="B898" s="135">
        <v>5889.65</v>
      </c>
      <c r="C898" s="139">
        <f t="shared" si="26"/>
        <v>5.1812591309062482E-2</v>
      </c>
      <c r="E898" s="136">
        <v>45596</v>
      </c>
      <c r="F898" s="137">
        <v>80044.95</v>
      </c>
      <c r="G898" s="139">
        <f t="shared" si="27"/>
        <v>-0.24041023033394929</v>
      </c>
    </row>
    <row r="899" spans="1:7" ht="16.2" thickBot="1" x14ac:dyDescent="0.35">
      <c r="A899" s="140">
        <v>45597</v>
      </c>
      <c r="B899" s="135">
        <v>5903.55</v>
      </c>
      <c r="C899" s="139">
        <f t="shared" si="26"/>
        <v>0.23600723302743876</v>
      </c>
      <c r="E899" s="136">
        <v>45597</v>
      </c>
      <c r="F899" s="137">
        <v>80023.75</v>
      </c>
      <c r="G899" s="139">
        <f t="shared" si="27"/>
        <v>-2.6485118673941443E-2</v>
      </c>
    </row>
    <row r="900" spans="1:7" ht="16.2" thickBot="1" x14ac:dyDescent="0.35">
      <c r="A900" s="140">
        <v>45600</v>
      </c>
      <c r="B900" s="135">
        <v>5901.75</v>
      </c>
      <c r="C900" s="139">
        <f t="shared" si="26"/>
        <v>-3.0490128820797349E-2</v>
      </c>
      <c r="E900" s="136">
        <v>45600</v>
      </c>
      <c r="F900" s="137">
        <v>79713.14</v>
      </c>
      <c r="G900" s="139">
        <f t="shared" si="27"/>
        <v>-0.38814726877958183</v>
      </c>
    </row>
    <row r="901" spans="1:7" ht="16.2" thickBot="1" x14ac:dyDescent="0.35">
      <c r="A901" s="140">
        <v>45601</v>
      </c>
      <c r="B901" s="135">
        <v>5811.25</v>
      </c>
      <c r="C901" s="139">
        <f t="shared" si="26"/>
        <v>-1.5334434701571567</v>
      </c>
      <c r="E901" s="136">
        <v>45601</v>
      </c>
      <c r="F901" s="137">
        <v>78542.16</v>
      </c>
      <c r="G901" s="139">
        <f t="shared" si="27"/>
        <v>-1.4689924396404355</v>
      </c>
    </row>
    <row r="902" spans="1:7" ht="16.2" thickBot="1" x14ac:dyDescent="0.35">
      <c r="A902" s="140">
        <v>45602</v>
      </c>
      <c r="B902" s="135">
        <v>5954.15</v>
      </c>
      <c r="C902" s="139">
        <f t="shared" si="26"/>
        <v>2.4590234459023383</v>
      </c>
      <c r="E902" s="136">
        <v>45602</v>
      </c>
      <c r="F902" s="137">
        <v>79771.820000000007</v>
      </c>
      <c r="G902" s="139">
        <f t="shared" si="27"/>
        <v>1.5656050202846514</v>
      </c>
    </row>
    <row r="903" spans="1:7" ht="16.2" thickBot="1" x14ac:dyDescent="0.35">
      <c r="A903" s="140">
        <v>45603</v>
      </c>
      <c r="B903" s="135">
        <v>5959.95</v>
      </c>
      <c r="C903" s="139">
        <f t="shared" si="26"/>
        <v>9.7411049436110647E-2</v>
      </c>
      <c r="E903" s="136">
        <v>45603</v>
      </c>
      <c r="F903" s="137">
        <v>80563.42</v>
      </c>
      <c r="G903" s="139">
        <f t="shared" si="27"/>
        <v>0.99233037431011495</v>
      </c>
    </row>
    <row r="904" spans="1:7" ht="16.2" thickBot="1" x14ac:dyDescent="0.35">
      <c r="A904" s="140">
        <v>45604</v>
      </c>
      <c r="B904" s="135">
        <v>5949.85</v>
      </c>
      <c r="C904" s="139">
        <f t="shared" ref="C904:C967" si="28">(B904-B903)/B903*100</f>
        <v>-0.16946450893043488</v>
      </c>
      <c r="E904" s="136">
        <v>45604</v>
      </c>
      <c r="F904" s="137">
        <v>79611.899999999994</v>
      </c>
      <c r="G904" s="139">
        <f t="shared" ref="G904:G967" si="29">(F904-F903)/F903*100</f>
        <v>-1.1810819352008692</v>
      </c>
    </row>
    <row r="905" spans="1:7" ht="16.2" thickBot="1" x14ac:dyDescent="0.35">
      <c r="A905" s="140">
        <v>45607</v>
      </c>
      <c r="B905" s="135">
        <v>5899.95</v>
      </c>
      <c r="C905" s="139">
        <f t="shared" si="28"/>
        <v>-0.83867660529257959</v>
      </c>
      <c r="E905" s="136">
        <v>45607</v>
      </c>
      <c r="F905" s="137">
        <v>79298.460000000006</v>
      </c>
      <c r="G905" s="139">
        <f t="shared" si="29"/>
        <v>-0.39370998556746895</v>
      </c>
    </row>
    <row r="906" spans="1:7" ht="16.2" thickBot="1" x14ac:dyDescent="0.35">
      <c r="A906" s="140">
        <v>45608</v>
      </c>
      <c r="B906" s="135">
        <v>5810.7</v>
      </c>
      <c r="C906" s="139">
        <f t="shared" si="28"/>
        <v>-1.5127246841074926</v>
      </c>
      <c r="E906" s="136">
        <v>45608</v>
      </c>
      <c r="F906" s="137">
        <v>79644.95</v>
      </c>
      <c r="G906" s="139">
        <f t="shared" si="29"/>
        <v>0.4369441726863178</v>
      </c>
    </row>
    <row r="907" spans="1:7" ht="16.2" thickBot="1" x14ac:dyDescent="0.35">
      <c r="A907" s="134">
        <v>45609</v>
      </c>
      <c r="B907" s="135">
        <v>5770.1</v>
      </c>
      <c r="C907" s="139">
        <f t="shared" si="28"/>
        <v>-0.69871099867484909</v>
      </c>
      <c r="E907" s="136">
        <v>45609</v>
      </c>
      <c r="F907" s="137">
        <v>78495.53</v>
      </c>
      <c r="G907" s="139">
        <f t="shared" si="29"/>
        <v>-1.4431800132965094</v>
      </c>
    </row>
    <row r="908" spans="1:7" ht="16.2" thickBot="1" x14ac:dyDescent="0.35">
      <c r="A908" s="134">
        <v>45610</v>
      </c>
      <c r="B908" s="135">
        <v>5750.1</v>
      </c>
      <c r="C908" s="139">
        <f t="shared" si="28"/>
        <v>-0.34661444342385744</v>
      </c>
      <c r="E908" s="136">
        <v>45610</v>
      </c>
      <c r="F908" s="137">
        <v>77636.94</v>
      </c>
      <c r="G908" s="139">
        <f t="shared" si="29"/>
        <v>-1.0938075072555042</v>
      </c>
    </row>
    <row r="909" spans="1:7" ht="16.2" thickBot="1" x14ac:dyDescent="0.35">
      <c r="A909" s="134">
        <v>45614</v>
      </c>
      <c r="B909" s="135">
        <v>5766.65</v>
      </c>
      <c r="C909" s="139">
        <f t="shared" si="28"/>
        <v>0.28782108137248519</v>
      </c>
      <c r="E909" s="136">
        <v>45614</v>
      </c>
      <c r="F909" s="137">
        <v>77863.539999999994</v>
      </c>
      <c r="G909" s="139">
        <f t="shared" si="29"/>
        <v>0.29187136947951742</v>
      </c>
    </row>
    <row r="910" spans="1:7" ht="16.2" thickBot="1" x14ac:dyDescent="0.35">
      <c r="A910" s="134">
        <v>45615</v>
      </c>
      <c r="B910" s="135">
        <v>5900.85</v>
      </c>
      <c r="C910" s="139">
        <f t="shared" si="28"/>
        <v>2.3271743559952611</v>
      </c>
      <c r="E910" s="136">
        <v>45615</v>
      </c>
      <c r="F910" s="137">
        <v>77548</v>
      </c>
      <c r="G910" s="139">
        <f t="shared" si="29"/>
        <v>-0.40524743673353875</v>
      </c>
    </row>
    <row r="911" spans="1:7" ht="16.2" thickBot="1" x14ac:dyDescent="0.35">
      <c r="A911" s="134">
        <v>45617</v>
      </c>
      <c r="B911" s="135">
        <v>5977.1</v>
      </c>
      <c r="C911" s="139">
        <f t="shared" si="28"/>
        <v>1.2921867188625367</v>
      </c>
      <c r="E911" s="136">
        <v>45617</v>
      </c>
      <c r="F911" s="137">
        <v>77711.11</v>
      </c>
      <c r="G911" s="139">
        <f t="shared" si="29"/>
        <v>0.21033424459689556</v>
      </c>
    </row>
    <row r="912" spans="1:7" ht="16.2" thickBot="1" x14ac:dyDescent="0.35">
      <c r="A912" s="134">
        <v>45618</v>
      </c>
      <c r="B912" s="135">
        <v>5998.35</v>
      </c>
      <c r="C912" s="139">
        <f t="shared" si="28"/>
        <v>0.35552358167004067</v>
      </c>
      <c r="E912" s="136">
        <v>45618</v>
      </c>
      <c r="F912" s="137">
        <v>77349.740000000005</v>
      </c>
      <c r="G912" s="139">
        <f t="shared" si="29"/>
        <v>-0.46501716421242129</v>
      </c>
    </row>
    <row r="913" spans="1:7" ht="16.2" thickBot="1" x14ac:dyDescent="0.35">
      <c r="A913" s="134">
        <v>45621</v>
      </c>
      <c r="B913" s="135">
        <v>6138.45</v>
      </c>
      <c r="C913" s="139">
        <f t="shared" si="28"/>
        <v>2.33564230163294</v>
      </c>
      <c r="E913" s="136">
        <v>45621</v>
      </c>
      <c r="F913" s="137">
        <v>80193.47</v>
      </c>
      <c r="G913" s="139">
        <f t="shared" si="29"/>
        <v>3.6764570895778004</v>
      </c>
    </row>
    <row r="914" spans="1:7" ht="16.2" thickBot="1" x14ac:dyDescent="0.35">
      <c r="A914" s="134">
        <v>45622</v>
      </c>
      <c r="B914" s="135">
        <v>6072.5</v>
      </c>
      <c r="C914" s="139">
        <f t="shared" si="28"/>
        <v>-1.0743754530866882</v>
      </c>
      <c r="E914" s="136">
        <v>45622</v>
      </c>
      <c r="F914" s="137">
        <v>80415.47</v>
      </c>
      <c r="G914" s="139">
        <f t="shared" si="29"/>
        <v>0.27683051999121622</v>
      </c>
    </row>
    <row r="915" spans="1:7" ht="16.2" thickBot="1" x14ac:dyDescent="0.35">
      <c r="A915" s="134">
        <v>45623</v>
      </c>
      <c r="B915" s="135">
        <v>5999.2</v>
      </c>
      <c r="C915" s="139">
        <f t="shared" si="28"/>
        <v>-1.2070811033347086</v>
      </c>
      <c r="E915" s="136">
        <v>45623</v>
      </c>
      <c r="F915" s="137">
        <v>80121.03</v>
      </c>
      <c r="G915" s="139">
        <f t="shared" si="29"/>
        <v>-0.36614845377388494</v>
      </c>
    </row>
    <row r="916" spans="1:7" ht="16.2" thickBot="1" x14ac:dyDescent="0.35">
      <c r="A916" s="134">
        <v>45624</v>
      </c>
      <c r="B916" s="135">
        <v>5951.8</v>
      </c>
      <c r="C916" s="139">
        <f t="shared" si="28"/>
        <v>-0.79010534737964466</v>
      </c>
      <c r="E916" s="136">
        <v>45624</v>
      </c>
      <c r="F916" s="137">
        <v>80281.64</v>
      </c>
      <c r="G916" s="139">
        <f t="shared" si="29"/>
        <v>0.20045923024204831</v>
      </c>
    </row>
    <row r="917" spans="1:7" ht="16.2" thickBot="1" x14ac:dyDescent="0.35">
      <c r="A917" s="134">
        <v>45625</v>
      </c>
      <c r="B917" s="135">
        <v>6172.7</v>
      </c>
      <c r="C917" s="139">
        <f t="shared" si="28"/>
        <v>3.7114822406666832</v>
      </c>
      <c r="E917" s="136">
        <v>45625</v>
      </c>
      <c r="F917" s="137">
        <v>79032.990000000005</v>
      </c>
      <c r="G917" s="139">
        <f t="shared" si="29"/>
        <v>-1.5553369363156933</v>
      </c>
    </row>
    <row r="918" spans="1:7" ht="16.2" thickBot="1" x14ac:dyDescent="0.35">
      <c r="A918" s="140">
        <v>45628</v>
      </c>
      <c r="B918" s="135">
        <v>6255.35</v>
      </c>
      <c r="C918" s="139">
        <f t="shared" si="28"/>
        <v>1.3389602605018962</v>
      </c>
      <c r="E918" s="136">
        <v>45628</v>
      </c>
      <c r="F918" s="137">
        <v>79743.87</v>
      </c>
      <c r="G918" s="139">
        <f t="shared" si="29"/>
        <v>0.89947248610990171</v>
      </c>
    </row>
    <row r="919" spans="1:7" ht="16.2" thickBot="1" x14ac:dyDescent="0.35">
      <c r="A919" s="140">
        <v>45629</v>
      </c>
      <c r="B919" s="135">
        <v>6210.55</v>
      </c>
      <c r="C919" s="139">
        <f t="shared" si="28"/>
        <v>-0.7161869439759595</v>
      </c>
      <c r="E919" s="136">
        <v>45629</v>
      </c>
      <c r="F919" s="137">
        <v>80529.2</v>
      </c>
      <c r="G919" s="139">
        <f t="shared" si="29"/>
        <v>0.98481550995706857</v>
      </c>
    </row>
    <row r="920" spans="1:7" ht="16.2" thickBot="1" x14ac:dyDescent="0.35">
      <c r="A920" s="140">
        <v>45630</v>
      </c>
      <c r="B920" s="135">
        <v>6256.5</v>
      </c>
      <c r="C920" s="139">
        <f t="shared" si="28"/>
        <v>0.73987005981756548</v>
      </c>
      <c r="E920" s="136">
        <v>45630</v>
      </c>
      <c r="F920" s="137">
        <v>81036.22</v>
      </c>
      <c r="G920" s="139">
        <f t="shared" si="29"/>
        <v>0.629610128996692</v>
      </c>
    </row>
    <row r="921" spans="1:7" ht="16.2" thickBot="1" x14ac:dyDescent="0.35">
      <c r="A921" s="140">
        <v>45631</v>
      </c>
      <c r="B921" s="135">
        <v>6096.2</v>
      </c>
      <c r="C921" s="139">
        <f t="shared" si="28"/>
        <v>-2.5621353792056292</v>
      </c>
      <c r="E921" s="136">
        <v>45631</v>
      </c>
      <c r="F921" s="137">
        <v>81182.740000000005</v>
      </c>
      <c r="G921" s="139">
        <f t="shared" si="29"/>
        <v>0.18080803867703119</v>
      </c>
    </row>
    <row r="922" spans="1:7" ht="16.2" thickBot="1" x14ac:dyDescent="0.35">
      <c r="A922" s="140">
        <v>45632</v>
      </c>
      <c r="B922" s="135">
        <v>6130.75</v>
      </c>
      <c r="C922" s="139">
        <f t="shared" si="28"/>
        <v>0.5667464978183161</v>
      </c>
      <c r="E922" s="136">
        <v>45632</v>
      </c>
      <c r="F922" s="137">
        <v>81887.539999999994</v>
      </c>
      <c r="G922" s="139">
        <f t="shared" si="29"/>
        <v>0.86816483405214984</v>
      </c>
    </row>
    <row r="923" spans="1:7" ht="16.2" thickBot="1" x14ac:dyDescent="0.35">
      <c r="A923" s="140">
        <v>45635</v>
      </c>
      <c r="B923" s="135">
        <v>5959.65</v>
      </c>
      <c r="C923" s="139">
        <f t="shared" si="28"/>
        <v>-2.7908494066794498</v>
      </c>
      <c r="E923" s="136">
        <v>45635</v>
      </c>
      <c r="F923" s="137">
        <v>81602.58</v>
      </c>
      <c r="G923" s="139">
        <f t="shared" si="29"/>
        <v>-0.34798944992118686</v>
      </c>
    </row>
    <row r="924" spans="1:7" ht="16.2" thickBot="1" x14ac:dyDescent="0.35">
      <c r="A924" s="140">
        <v>45636</v>
      </c>
      <c r="B924" s="135">
        <v>5932.6</v>
      </c>
      <c r="C924" s="139">
        <f t="shared" si="28"/>
        <v>-0.45388571476511669</v>
      </c>
      <c r="E924" s="136">
        <v>45636</v>
      </c>
      <c r="F924" s="137">
        <v>81575.960000000006</v>
      </c>
      <c r="G924" s="139">
        <f t="shared" si="29"/>
        <v>-3.2621517603972014E-2</v>
      </c>
    </row>
    <row r="925" spans="1:7" ht="16.2" thickBot="1" x14ac:dyDescent="0.35">
      <c r="A925" s="140">
        <v>45637</v>
      </c>
      <c r="B925" s="135">
        <v>5927.95</v>
      </c>
      <c r="C925" s="139">
        <f t="shared" si="28"/>
        <v>-7.8380473991176647E-2</v>
      </c>
      <c r="E925" s="136">
        <v>45637</v>
      </c>
      <c r="F925" s="137">
        <v>81568.39</v>
      </c>
      <c r="G925" s="139">
        <f t="shared" si="29"/>
        <v>-9.2796946551496097E-3</v>
      </c>
    </row>
    <row r="926" spans="1:7" ht="16.2" thickBot="1" x14ac:dyDescent="0.35">
      <c r="A926" s="140">
        <v>45638</v>
      </c>
      <c r="B926" s="135">
        <v>5951.7</v>
      </c>
      <c r="C926" s="139">
        <f t="shared" si="28"/>
        <v>0.40064440489545294</v>
      </c>
      <c r="E926" s="136">
        <v>45638</v>
      </c>
      <c r="F926" s="137">
        <v>81476.759999999995</v>
      </c>
      <c r="G926" s="139">
        <f t="shared" si="29"/>
        <v>-0.11233518278343443</v>
      </c>
    </row>
    <row r="927" spans="1:7" ht="16.2" thickBot="1" x14ac:dyDescent="0.35">
      <c r="A927" s="134">
        <v>45639</v>
      </c>
      <c r="B927" s="135">
        <v>5876.7</v>
      </c>
      <c r="C927" s="139">
        <f t="shared" si="28"/>
        <v>-1.2601441604919603</v>
      </c>
      <c r="E927" s="136">
        <v>45639</v>
      </c>
      <c r="F927" s="137">
        <v>81212.45</v>
      </c>
      <c r="G927" s="139">
        <f t="shared" si="29"/>
        <v>-0.32439925200756353</v>
      </c>
    </row>
    <row r="928" spans="1:7" ht="16.2" thickBot="1" x14ac:dyDescent="0.35">
      <c r="A928" s="134">
        <v>45642</v>
      </c>
      <c r="B928" s="135">
        <v>5856.45</v>
      </c>
      <c r="C928" s="139">
        <f t="shared" si="28"/>
        <v>-0.34458114247792132</v>
      </c>
      <c r="E928" s="136">
        <v>45642</v>
      </c>
      <c r="F928" s="137">
        <v>82000.31</v>
      </c>
      <c r="G928" s="139">
        <f t="shared" si="29"/>
        <v>0.97012219185605242</v>
      </c>
    </row>
    <row r="929" spans="1:7" ht="16.2" thickBot="1" x14ac:dyDescent="0.35">
      <c r="A929" s="134">
        <v>45643</v>
      </c>
      <c r="B929" s="135">
        <v>5847.4</v>
      </c>
      <c r="C929" s="139">
        <f t="shared" si="28"/>
        <v>-0.15453047494642969</v>
      </c>
      <c r="E929" s="136">
        <v>45643</v>
      </c>
      <c r="F929" s="137">
        <v>81511.81</v>
      </c>
      <c r="G929" s="139">
        <f t="shared" si="29"/>
        <v>-0.59572945516913289</v>
      </c>
    </row>
    <row r="930" spans="1:7" ht="16.2" thickBot="1" x14ac:dyDescent="0.35">
      <c r="A930" s="134">
        <v>45644</v>
      </c>
      <c r="B930" s="135">
        <v>5849.75</v>
      </c>
      <c r="C930" s="139">
        <f t="shared" si="28"/>
        <v>4.0188801860662239E-2</v>
      </c>
      <c r="E930" s="136">
        <v>45644</v>
      </c>
      <c r="F930" s="137">
        <v>80666.259999999995</v>
      </c>
      <c r="G930" s="139">
        <f t="shared" si="29"/>
        <v>-1.0373343445569456</v>
      </c>
    </row>
    <row r="931" spans="1:7" ht="16.2" thickBot="1" x14ac:dyDescent="0.35">
      <c r="A931" s="134">
        <v>45645</v>
      </c>
      <c r="B931" s="135">
        <v>5820.75</v>
      </c>
      <c r="C931" s="139">
        <f t="shared" si="28"/>
        <v>-0.49574768152485149</v>
      </c>
      <c r="E931" s="136">
        <v>45645</v>
      </c>
      <c r="F931" s="137">
        <v>79029.03</v>
      </c>
      <c r="G931" s="139">
        <f t="shared" si="29"/>
        <v>-2.0296341989823206</v>
      </c>
    </row>
    <row r="932" spans="1:7" ht="16.2" thickBot="1" x14ac:dyDescent="0.35">
      <c r="A932" s="134">
        <v>45646</v>
      </c>
      <c r="B932" s="135">
        <v>5846.75</v>
      </c>
      <c r="C932" s="139">
        <f t="shared" si="28"/>
        <v>0.44667783361250701</v>
      </c>
      <c r="E932" s="136">
        <v>45646</v>
      </c>
      <c r="F932" s="137">
        <v>79335.48</v>
      </c>
      <c r="G932" s="139">
        <f t="shared" si="29"/>
        <v>0.38776889960562227</v>
      </c>
    </row>
    <row r="933" spans="1:7" ht="16.2" thickBot="1" x14ac:dyDescent="0.35">
      <c r="A933" s="134">
        <v>45649</v>
      </c>
      <c r="B933" s="135">
        <v>5849.45</v>
      </c>
      <c r="C933" s="139">
        <f t="shared" si="28"/>
        <v>4.6179501432416607E-2</v>
      </c>
      <c r="E933" s="136">
        <v>45649</v>
      </c>
      <c r="F933" s="137">
        <v>78488.639999999999</v>
      </c>
      <c r="G933" s="139">
        <f t="shared" si="29"/>
        <v>-1.0674164951166825</v>
      </c>
    </row>
    <row r="934" spans="1:7" ht="16.2" thickBot="1" x14ac:dyDescent="0.35">
      <c r="A934" s="134">
        <v>45650</v>
      </c>
      <c r="B934" s="135">
        <v>5782.35</v>
      </c>
      <c r="C934" s="139">
        <f t="shared" si="28"/>
        <v>-1.1471163955585475</v>
      </c>
      <c r="E934" s="136">
        <v>45650</v>
      </c>
      <c r="F934" s="137">
        <v>78707.37</v>
      </c>
      <c r="G934" s="139">
        <f t="shared" si="29"/>
        <v>0.27867727100379869</v>
      </c>
    </row>
    <row r="935" spans="1:7" ht="16.2" thickBot="1" x14ac:dyDescent="0.35">
      <c r="A935" s="134">
        <v>45652</v>
      </c>
      <c r="B935" s="135">
        <v>5886.75</v>
      </c>
      <c r="C935" s="139">
        <f t="shared" si="28"/>
        <v>1.8054943059482673</v>
      </c>
      <c r="E935" s="136">
        <v>45652</v>
      </c>
      <c r="F935" s="137">
        <v>78557.279999999999</v>
      </c>
      <c r="G935" s="139">
        <f t="shared" si="29"/>
        <v>-0.19069370504947189</v>
      </c>
    </row>
    <row r="936" spans="1:7" ht="16.2" thickBot="1" x14ac:dyDescent="0.35">
      <c r="A936" s="134">
        <v>45653</v>
      </c>
      <c r="B936" s="135">
        <v>5881.05</v>
      </c>
      <c r="C936" s="139">
        <f t="shared" si="28"/>
        <v>-9.6827621353035506E-2</v>
      </c>
      <c r="E936" s="136">
        <v>45653</v>
      </c>
      <c r="F936" s="137">
        <v>78607.62</v>
      </c>
      <c r="G936" s="139">
        <f t="shared" si="29"/>
        <v>6.4080630082910858E-2</v>
      </c>
    </row>
    <row r="937" spans="1:7" ht="16.2" thickBot="1" x14ac:dyDescent="0.35">
      <c r="A937" s="134">
        <v>45656</v>
      </c>
      <c r="B937" s="135">
        <v>6045</v>
      </c>
      <c r="C937" s="139">
        <f t="shared" si="28"/>
        <v>2.7877674904991423</v>
      </c>
      <c r="E937" s="136">
        <v>45656</v>
      </c>
      <c r="F937" s="137">
        <v>78637.58</v>
      </c>
      <c r="G937" s="139">
        <f t="shared" si="29"/>
        <v>3.8113353387376953E-2</v>
      </c>
    </row>
    <row r="938" spans="1:7" ht="16.2" thickBot="1" x14ac:dyDescent="0.35">
      <c r="A938" s="134">
        <v>45657</v>
      </c>
      <c r="B938" s="135">
        <v>6098.8</v>
      </c>
      <c r="C938" s="139">
        <f t="shared" si="28"/>
        <v>0.88999172870140919</v>
      </c>
      <c r="E938" s="136">
        <v>45657</v>
      </c>
      <c r="F938" s="137">
        <v>77982.570000000007</v>
      </c>
      <c r="G938" s="139">
        <f t="shared" si="29"/>
        <v>-0.83294780943156543</v>
      </c>
    </row>
    <row r="939" spans="1:7" ht="16.2" thickBot="1" x14ac:dyDescent="0.35">
      <c r="A939" s="140">
        <v>45658</v>
      </c>
      <c r="B939" s="135">
        <v>6073</v>
      </c>
      <c r="C939" s="139">
        <f t="shared" si="28"/>
        <v>-0.42303403948318002</v>
      </c>
      <c r="E939" s="136">
        <v>45658</v>
      </c>
      <c r="F939" s="137">
        <v>78265.070000000007</v>
      </c>
      <c r="G939" s="139">
        <f t="shared" si="29"/>
        <v>0.36226043845438793</v>
      </c>
    </row>
    <row r="940" spans="1:7" ht="16.2" thickBot="1" x14ac:dyDescent="0.35">
      <c r="A940" s="140">
        <v>45659</v>
      </c>
      <c r="B940" s="135">
        <v>6144.75</v>
      </c>
      <c r="C940" s="139">
        <f t="shared" si="28"/>
        <v>1.1814589165157252</v>
      </c>
      <c r="E940" s="136">
        <v>45659</v>
      </c>
      <c r="F940" s="137">
        <v>78657.52</v>
      </c>
      <c r="G940" s="139">
        <f t="shared" si="29"/>
        <v>0.50143697565209744</v>
      </c>
    </row>
    <row r="941" spans="1:7" ht="16.2" thickBot="1" x14ac:dyDescent="0.35">
      <c r="A941" s="140">
        <v>45660</v>
      </c>
      <c r="B941" s="135">
        <v>6048.3</v>
      </c>
      <c r="C941" s="139">
        <f t="shared" si="28"/>
        <v>-1.5696326132063927</v>
      </c>
      <c r="E941" s="136">
        <v>45660</v>
      </c>
      <c r="F941" s="137">
        <v>80072.990000000005</v>
      </c>
      <c r="G941" s="139">
        <f t="shared" si="29"/>
        <v>1.7995355053146871</v>
      </c>
    </row>
    <row r="942" spans="1:7" ht="16.2" thickBot="1" x14ac:dyDescent="0.35">
      <c r="A942" s="140">
        <v>45663</v>
      </c>
      <c r="B942" s="135">
        <v>5891.65</v>
      </c>
      <c r="C942" s="139">
        <f t="shared" si="28"/>
        <v>-2.5899839624357348</v>
      </c>
      <c r="E942" s="136">
        <v>45663</v>
      </c>
      <c r="F942" s="137">
        <v>79281.649999999994</v>
      </c>
      <c r="G942" s="139">
        <f t="shared" si="29"/>
        <v>-0.9882733241259144</v>
      </c>
    </row>
    <row r="943" spans="1:7" ht="16.2" thickBot="1" x14ac:dyDescent="0.35">
      <c r="A943" s="140">
        <v>45664</v>
      </c>
      <c r="B943" s="135">
        <v>5907.95</v>
      </c>
      <c r="C943" s="139">
        <f t="shared" si="28"/>
        <v>0.2766627345480499</v>
      </c>
      <c r="E943" s="136">
        <v>45664</v>
      </c>
      <c r="F943" s="137">
        <v>78019.8</v>
      </c>
      <c r="G943" s="139">
        <f t="shared" si="29"/>
        <v>-1.5916041101566267</v>
      </c>
    </row>
    <row r="944" spans="1:7" ht="16.2" thickBot="1" x14ac:dyDescent="0.35">
      <c r="A944" s="140">
        <v>45665</v>
      </c>
      <c r="B944" s="135">
        <v>5868.4</v>
      </c>
      <c r="C944" s="139">
        <f t="shared" si="28"/>
        <v>-0.6694369451332558</v>
      </c>
      <c r="E944" s="136">
        <v>45665</v>
      </c>
      <c r="F944" s="137">
        <v>78319.45</v>
      </c>
      <c r="G944" s="139">
        <f t="shared" si="29"/>
        <v>0.38406917218448927</v>
      </c>
    </row>
    <row r="945" spans="1:7" ht="16.2" thickBot="1" x14ac:dyDescent="0.35">
      <c r="A945" s="140">
        <v>45666</v>
      </c>
      <c r="B945" s="135">
        <v>5824.55</v>
      </c>
      <c r="C945" s="139">
        <f t="shared" si="28"/>
        <v>-0.74722241156021163</v>
      </c>
      <c r="E945" s="136">
        <v>45666</v>
      </c>
      <c r="F945" s="137">
        <v>78206.210000000006</v>
      </c>
      <c r="G945" s="139">
        <f t="shared" si="29"/>
        <v>-0.14458732792427767</v>
      </c>
    </row>
    <row r="946" spans="1:7" ht="16.2" thickBot="1" x14ac:dyDescent="0.35">
      <c r="A946" s="140">
        <v>45667</v>
      </c>
      <c r="B946" s="135">
        <v>5771.35</v>
      </c>
      <c r="C946" s="139">
        <f t="shared" si="28"/>
        <v>-0.91337528221063968</v>
      </c>
      <c r="E946" s="136">
        <v>45667</v>
      </c>
      <c r="F946" s="137">
        <v>77682.59</v>
      </c>
      <c r="G946" s="139">
        <f t="shared" si="29"/>
        <v>-0.6695376236746543</v>
      </c>
    </row>
    <row r="947" spans="1:7" ht="16.2" thickBot="1" x14ac:dyDescent="0.35">
      <c r="A947" s="134">
        <v>45670</v>
      </c>
      <c r="B947" s="135">
        <v>5732.5</v>
      </c>
      <c r="C947" s="139">
        <f t="shared" si="28"/>
        <v>-0.67315272856438035</v>
      </c>
      <c r="E947" s="136">
        <v>45670</v>
      </c>
      <c r="F947" s="137">
        <v>76629.899999999994</v>
      </c>
      <c r="G947" s="139">
        <f t="shared" si="29"/>
        <v>-1.3551170217161945</v>
      </c>
    </row>
    <row r="948" spans="1:7" ht="16.2" thickBot="1" x14ac:dyDescent="0.35">
      <c r="A948" s="134">
        <v>45671</v>
      </c>
      <c r="B948" s="135">
        <v>5990.3</v>
      </c>
      <c r="C948" s="139">
        <f t="shared" si="28"/>
        <v>4.4971652856519873</v>
      </c>
      <c r="E948" s="136">
        <v>45671</v>
      </c>
      <c r="F948" s="137">
        <v>76335.75</v>
      </c>
      <c r="G948" s="139">
        <f t="shared" si="29"/>
        <v>-0.38385799798772308</v>
      </c>
    </row>
    <row r="949" spans="1:7" ht="16.2" thickBot="1" x14ac:dyDescent="0.35">
      <c r="A949" s="134">
        <v>45672</v>
      </c>
      <c r="B949" s="135">
        <v>5876.85</v>
      </c>
      <c r="C949" s="139">
        <f t="shared" si="28"/>
        <v>-1.8938951304609086</v>
      </c>
      <c r="E949" s="136">
        <v>45672</v>
      </c>
      <c r="F949" s="137">
        <v>76900.14</v>
      </c>
      <c r="G949" s="139">
        <f t="shared" si="29"/>
        <v>0.73935213841483105</v>
      </c>
    </row>
    <row r="950" spans="1:7" ht="16.2" thickBot="1" x14ac:dyDescent="0.35">
      <c r="A950" s="134">
        <v>45673</v>
      </c>
      <c r="B950" s="135">
        <v>5916.05</v>
      </c>
      <c r="C950" s="139">
        <f t="shared" si="28"/>
        <v>0.66702400095288827</v>
      </c>
      <c r="E950" s="136">
        <v>45673</v>
      </c>
      <c r="F950" s="137">
        <v>77319.5</v>
      </c>
      <c r="G950" s="139">
        <f t="shared" si="29"/>
        <v>0.54533060668030076</v>
      </c>
    </row>
    <row r="951" spans="1:7" ht="16.2" thickBot="1" x14ac:dyDescent="0.35">
      <c r="A951" s="134">
        <v>45674</v>
      </c>
      <c r="B951" s="135">
        <v>5916.05</v>
      </c>
      <c r="C951" s="139">
        <f t="shared" si="28"/>
        <v>0</v>
      </c>
      <c r="E951" s="136">
        <v>45674</v>
      </c>
      <c r="F951" s="137">
        <v>77069.19</v>
      </c>
      <c r="G951" s="139">
        <f t="shared" si="29"/>
        <v>-0.32373463356591503</v>
      </c>
    </row>
    <row r="952" spans="1:7" ht="16.2" thickBot="1" x14ac:dyDescent="0.35">
      <c r="A952" s="134">
        <v>45677</v>
      </c>
      <c r="B952" s="135">
        <v>6000.6</v>
      </c>
      <c r="C952" s="139">
        <f t="shared" si="28"/>
        <v>1.4291630395280666</v>
      </c>
      <c r="E952" s="136">
        <v>45677</v>
      </c>
      <c r="F952" s="137">
        <v>76978.53</v>
      </c>
      <c r="G952" s="139">
        <f t="shared" si="29"/>
        <v>-0.11763455668861121</v>
      </c>
    </row>
    <row r="953" spans="1:7" ht="16.2" thickBot="1" x14ac:dyDescent="0.35">
      <c r="A953" s="134">
        <v>45678</v>
      </c>
      <c r="B953" s="135">
        <v>5818.9</v>
      </c>
      <c r="C953" s="139">
        <f t="shared" si="28"/>
        <v>-3.0280305302803172</v>
      </c>
      <c r="E953" s="136">
        <v>45678</v>
      </c>
      <c r="F953" s="137">
        <v>77261.72</v>
      </c>
      <c r="G953" s="139">
        <f t="shared" si="29"/>
        <v>0.36788179769086571</v>
      </c>
    </row>
    <row r="954" spans="1:7" ht="16.2" thickBot="1" x14ac:dyDescent="0.35">
      <c r="A954" s="134">
        <v>45679</v>
      </c>
      <c r="B954" s="135">
        <v>5812.5</v>
      </c>
      <c r="C954" s="139">
        <f t="shared" si="28"/>
        <v>-0.10998642355083671</v>
      </c>
      <c r="E954" s="136">
        <v>45679</v>
      </c>
      <c r="F954" s="137">
        <v>76114.42</v>
      </c>
      <c r="G954" s="139">
        <f t="shared" si="29"/>
        <v>-1.4849527036157142</v>
      </c>
    </row>
    <row r="955" spans="1:7" ht="16.2" thickBot="1" x14ac:dyDescent="0.35">
      <c r="A955" s="134">
        <v>45680</v>
      </c>
      <c r="B955" s="135">
        <v>5850.95</v>
      </c>
      <c r="C955" s="139">
        <f t="shared" si="28"/>
        <v>0.66150537634408291</v>
      </c>
      <c r="E955" s="136">
        <v>45680</v>
      </c>
      <c r="F955" s="137">
        <v>76414.52</v>
      </c>
      <c r="G955" s="139">
        <f t="shared" si="29"/>
        <v>0.39427482992054047</v>
      </c>
    </row>
    <row r="956" spans="1:7" ht="16.2" thickBot="1" x14ac:dyDescent="0.35">
      <c r="A956" s="134">
        <v>45681</v>
      </c>
      <c r="B956" s="135">
        <v>5762.6</v>
      </c>
      <c r="C956" s="139">
        <f t="shared" si="28"/>
        <v>-1.5100111947632344</v>
      </c>
      <c r="E956" s="136">
        <v>45681</v>
      </c>
      <c r="F956" s="137">
        <v>76455.350000000006</v>
      </c>
      <c r="G956" s="139">
        <f t="shared" si="29"/>
        <v>5.3432253451309704E-2</v>
      </c>
    </row>
    <row r="957" spans="1:7" ht="16.2" thickBot="1" x14ac:dyDescent="0.35">
      <c r="A957" s="134">
        <v>45684</v>
      </c>
      <c r="B957" s="135">
        <v>5576.75</v>
      </c>
      <c r="C957" s="139">
        <f t="shared" si="28"/>
        <v>-3.2251067226599166</v>
      </c>
      <c r="E957" s="136">
        <v>45684</v>
      </c>
      <c r="F957" s="137">
        <v>75700.429999999993</v>
      </c>
      <c r="G957" s="139">
        <f t="shared" si="29"/>
        <v>-0.9873998353287412</v>
      </c>
    </row>
    <row r="958" spans="1:7" ht="16.2" thickBot="1" x14ac:dyDescent="0.35">
      <c r="A958" s="134">
        <v>45685</v>
      </c>
      <c r="B958" s="135">
        <v>5410.2</v>
      </c>
      <c r="C958" s="139">
        <f t="shared" si="28"/>
        <v>-2.9865064777872452</v>
      </c>
      <c r="E958" s="136">
        <v>45685</v>
      </c>
      <c r="F958" s="137">
        <v>75659</v>
      </c>
      <c r="G958" s="139">
        <f t="shared" si="29"/>
        <v>-5.4728883310164837E-2</v>
      </c>
    </row>
    <row r="959" spans="1:7" ht="16.2" thickBot="1" x14ac:dyDescent="0.35">
      <c r="A959" s="134">
        <v>45686</v>
      </c>
      <c r="B959" s="135">
        <v>5620.15</v>
      </c>
      <c r="C959" s="139">
        <f t="shared" si="28"/>
        <v>3.880632878636646</v>
      </c>
      <c r="E959" s="136">
        <v>45686</v>
      </c>
      <c r="F959" s="137">
        <v>76138.240000000005</v>
      </c>
      <c r="G959" s="139">
        <f t="shared" si="29"/>
        <v>0.63342100741485508</v>
      </c>
    </row>
    <row r="960" spans="1:7" ht="16.2" thickBot="1" x14ac:dyDescent="0.35">
      <c r="A960" s="134">
        <v>45687</v>
      </c>
      <c r="B960" s="135">
        <v>5735.9</v>
      </c>
      <c r="C960" s="139">
        <f t="shared" si="28"/>
        <v>2.0595535706342356</v>
      </c>
      <c r="E960" s="136">
        <v>45687</v>
      </c>
      <c r="F960" s="137">
        <v>76598.84</v>
      </c>
      <c r="G960" s="139">
        <f t="shared" si="29"/>
        <v>0.604952255266199</v>
      </c>
    </row>
    <row r="961" spans="1:7" ht="16.2" thickBot="1" x14ac:dyDescent="0.35">
      <c r="A961" s="134">
        <v>45688</v>
      </c>
      <c r="B961" s="135">
        <v>5577.7</v>
      </c>
      <c r="C961" s="139">
        <f t="shared" si="28"/>
        <v>-2.758067609267941</v>
      </c>
      <c r="E961" s="136">
        <v>45688</v>
      </c>
      <c r="F961" s="137">
        <v>76888.89</v>
      </c>
      <c r="G961" s="139">
        <f t="shared" si="29"/>
        <v>0.37866108677364163</v>
      </c>
    </row>
    <row r="962" spans="1:7" ht="16.2" thickBot="1" x14ac:dyDescent="0.35">
      <c r="A962" s="140">
        <v>45689</v>
      </c>
      <c r="B962" s="135">
        <v>5618.55</v>
      </c>
      <c r="C962" s="139">
        <f t="shared" si="28"/>
        <v>0.73238073040859797</v>
      </c>
      <c r="E962" s="136">
        <v>45689</v>
      </c>
      <c r="F962" s="137">
        <v>77637.009999999995</v>
      </c>
      <c r="G962" s="139">
        <f t="shared" si="29"/>
        <v>0.97298842524582607</v>
      </c>
    </row>
    <row r="963" spans="1:7" ht="16.2" thickBot="1" x14ac:dyDescent="0.35">
      <c r="A963" s="140">
        <v>45691</v>
      </c>
      <c r="B963" s="135">
        <v>5884.1</v>
      </c>
      <c r="C963" s="139">
        <f t="shared" si="28"/>
        <v>4.7263083891751458</v>
      </c>
      <c r="E963" s="136">
        <v>45691</v>
      </c>
      <c r="F963" s="137">
        <v>77063.94</v>
      </c>
      <c r="G963" s="139">
        <f t="shared" si="29"/>
        <v>-0.73814022461708984</v>
      </c>
    </row>
    <row r="964" spans="1:7" ht="16.2" thickBot="1" x14ac:dyDescent="0.35">
      <c r="A964" s="140">
        <v>45692</v>
      </c>
      <c r="B964" s="135">
        <v>6096.25</v>
      </c>
      <c r="C964" s="139">
        <f t="shared" si="28"/>
        <v>3.6054791726857056</v>
      </c>
      <c r="E964" s="136">
        <v>45692</v>
      </c>
      <c r="F964" s="137">
        <v>77687.600000000006</v>
      </c>
      <c r="G964" s="139">
        <f t="shared" si="29"/>
        <v>0.80927603753455057</v>
      </c>
    </row>
    <row r="965" spans="1:7" ht="16.2" thickBot="1" x14ac:dyDescent="0.35">
      <c r="A965" s="140">
        <v>45693</v>
      </c>
      <c r="B965" s="135">
        <v>6123.5</v>
      </c>
      <c r="C965" s="139">
        <f t="shared" si="28"/>
        <v>0.44699610416239488</v>
      </c>
      <c r="E965" s="136">
        <v>45693</v>
      </c>
      <c r="F965" s="137">
        <v>78704.600000000006</v>
      </c>
      <c r="G965" s="139">
        <f t="shared" si="29"/>
        <v>1.3090892240203069</v>
      </c>
    </row>
    <row r="966" spans="1:7" ht="16.2" thickBot="1" x14ac:dyDescent="0.35">
      <c r="A966" s="140">
        <v>45694</v>
      </c>
      <c r="B966" s="135">
        <v>6119.7</v>
      </c>
      <c r="C966" s="139">
        <f t="shared" si="28"/>
        <v>-6.2056013717648101E-2</v>
      </c>
      <c r="E966" s="136">
        <v>45694</v>
      </c>
      <c r="F966" s="137">
        <v>78513.36</v>
      </c>
      <c r="G966" s="139">
        <f t="shared" si="29"/>
        <v>-0.24298452695268793</v>
      </c>
    </row>
    <row r="967" spans="1:7" ht="16.2" thickBot="1" x14ac:dyDescent="0.35">
      <c r="A967" s="140">
        <v>45695</v>
      </c>
      <c r="B967" s="135">
        <v>6140.55</v>
      </c>
      <c r="C967" s="139">
        <f t="shared" si="28"/>
        <v>0.34070297563606655</v>
      </c>
      <c r="E967" s="136">
        <v>45695</v>
      </c>
      <c r="F967" s="137">
        <v>78119.600000000006</v>
      </c>
      <c r="G967" s="139">
        <f t="shared" si="29"/>
        <v>-0.50151974135356669</v>
      </c>
    </row>
    <row r="968" spans="1:7" ht="16.2" thickBot="1" x14ac:dyDescent="0.35">
      <c r="A968" s="140">
        <v>45698</v>
      </c>
      <c r="B968" s="135">
        <v>5938.8</v>
      </c>
      <c r="C968" s="139">
        <f t="shared" ref="C968:C1031" si="30">(B968-B967)/B967*100</f>
        <v>-3.2855363118938858</v>
      </c>
      <c r="E968" s="136">
        <v>45698</v>
      </c>
      <c r="F968" s="137">
        <v>77789.3</v>
      </c>
      <c r="G968" s="139">
        <f t="shared" ref="G968:G1031" si="31">(F968-F967)/F967*100</f>
        <v>-0.42281322485010531</v>
      </c>
    </row>
    <row r="969" spans="1:7" ht="16.2" thickBot="1" x14ac:dyDescent="0.35">
      <c r="A969" s="140">
        <v>45699</v>
      </c>
      <c r="B969" s="135">
        <v>5946.75</v>
      </c>
      <c r="C969" s="139">
        <f t="shared" si="30"/>
        <v>0.13386542735905937</v>
      </c>
      <c r="E969" s="136">
        <v>45699</v>
      </c>
      <c r="F969" s="137">
        <v>77384.98</v>
      </c>
      <c r="G969" s="139">
        <f t="shared" si="31"/>
        <v>-0.51976300082402971</v>
      </c>
    </row>
    <row r="970" spans="1:7" ht="16.2" thickBot="1" x14ac:dyDescent="0.35">
      <c r="A970" s="140">
        <v>45700</v>
      </c>
      <c r="B970" s="135">
        <v>5969.85</v>
      </c>
      <c r="C970" s="139">
        <f t="shared" si="30"/>
        <v>0.38844747130786339</v>
      </c>
      <c r="E970" s="136">
        <v>45700</v>
      </c>
      <c r="F970" s="137">
        <v>76188.240000000005</v>
      </c>
      <c r="G970" s="139">
        <f t="shared" si="31"/>
        <v>-1.5464758148157314</v>
      </c>
    </row>
    <row r="971" spans="1:7" ht="16.2" thickBot="1" x14ac:dyDescent="0.35">
      <c r="A971" s="134">
        <v>45701</v>
      </c>
      <c r="B971" s="135">
        <v>6010.5</v>
      </c>
      <c r="C971" s="139">
        <f t="shared" si="30"/>
        <v>0.68092163119675753</v>
      </c>
      <c r="E971" s="136">
        <v>45701</v>
      </c>
      <c r="F971" s="137">
        <v>76201.100000000006</v>
      </c>
      <c r="G971" s="139">
        <f t="shared" si="31"/>
        <v>1.6879245405853425E-2</v>
      </c>
    </row>
    <row r="972" spans="1:7" ht="16.2" thickBot="1" x14ac:dyDescent="0.35">
      <c r="A972" s="134">
        <v>45702</v>
      </c>
      <c r="B972" s="135">
        <v>5843.75</v>
      </c>
      <c r="C972" s="139">
        <f t="shared" si="30"/>
        <v>-2.7743116213293404</v>
      </c>
      <c r="E972" s="136">
        <v>45702</v>
      </c>
      <c r="F972" s="137">
        <v>76388.990000000005</v>
      </c>
      <c r="G972" s="139">
        <f t="shared" si="31"/>
        <v>0.24657124372220268</v>
      </c>
    </row>
    <row r="973" spans="1:7" ht="16.2" thickBot="1" x14ac:dyDescent="0.35">
      <c r="A973" s="134">
        <v>45705</v>
      </c>
      <c r="B973" s="135">
        <v>5923.75</v>
      </c>
      <c r="C973" s="139">
        <f t="shared" si="30"/>
        <v>1.3689839572192513</v>
      </c>
      <c r="E973" s="136">
        <v>45705</v>
      </c>
      <c r="F973" s="137">
        <v>75641.41</v>
      </c>
      <c r="G973" s="139">
        <f t="shared" si="31"/>
        <v>-0.97864888644293069</v>
      </c>
    </row>
    <row r="974" spans="1:7" ht="16.2" thickBot="1" x14ac:dyDescent="0.35">
      <c r="A974" s="134">
        <v>45706</v>
      </c>
      <c r="B974" s="135">
        <v>5839.7</v>
      </c>
      <c r="C974" s="139">
        <f t="shared" si="30"/>
        <v>-1.4188647393965002</v>
      </c>
      <c r="E974" s="136">
        <v>45706</v>
      </c>
      <c r="F974" s="137">
        <v>76073.710000000006</v>
      </c>
      <c r="G974" s="139">
        <f t="shared" si="31"/>
        <v>0.57151235017962099</v>
      </c>
    </row>
    <row r="975" spans="1:7" ht="16.2" thickBot="1" x14ac:dyDescent="0.35">
      <c r="A975" s="134">
        <v>45707</v>
      </c>
      <c r="B975" s="135">
        <v>5934.9</v>
      </c>
      <c r="C975" s="139">
        <f t="shared" si="30"/>
        <v>1.6302207305169756</v>
      </c>
      <c r="E975" s="136">
        <v>45707</v>
      </c>
      <c r="F975" s="137">
        <v>75787.27</v>
      </c>
      <c r="G975" s="139">
        <f t="shared" si="31"/>
        <v>-0.37652955271933275</v>
      </c>
    </row>
    <row r="976" spans="1:7" ht="16.2" thickBot="1" x14ac:dyDescent="0.35">
      <c r="A976" s="134">
        <v>45708</v>
      </c>
      <c r="B976" s="135">
        <v>5978.3</v>
      </c>
      <c r="C976" s="139">
        <f t="shared" si="30"/>
        <v>0.73126758664847846</v>
      </c>
      <c r="E976" s="136">
        <v>45708</v>
      </c>
      <c r="F976" s="137">
        <v>75672.84</v>
      </c>
      <c r="G976" s="139">
        <f t="shared" si="31"/>
        <v>-0.15098841797574653</v>
      </c>
    </row>
    <row r="977" spans="1:7" ht="16.2" thickBot="1" x14ac:dyDescent="0.35">
      <c r="A977" s="134">
        <v>45709</v>
      </c>
      <c r="B977" s="135">
        <v>5757.05</v>
      </c>
      <c r="C977" s="139">
        <f t="shared" si="30"/>
        <v>-3.7008848669354166</v>
      </c>
      <c r="E977" s="136">
        <v>45709</v>
      </c>
      <c r="F977" s="137">
        <v>75612.61</v>
      </c>
      <c r="G977" s="139">
        <f t="shared" si="31"/>
        <v>-7.9592625306511455E-2</v>
      </c>
    </row>
    <row r="978" spans="1:7" ht="16.2" thickBot="1" x14ac:dyDescent="0.35">
      <c r="A978" s="134">
        <v>45712</v>
      </c>
      <c r="B978" s="135">
        <v>5702.55</v>
      </c>
      <c r="C978" s="139">
        <f t="shared" si="30"/>
        <v>-0.94666539286613804</v>
      </c>
      <c r="E978" s="136">
        <v>45712</v>
      </c>
      <c r="F978" s="137">
        <v>74893.45</v>
      </c>
      <c r="G978" s="139">
        <f t="shared" si="31"/>
        <v>-0.95111119692866497</v>
      </c>
    </row>
    <row r="979" spans="1:7" ht="16.2" thickBot="1" x14ac:dyDescent="0.35">
      <c r="A979" s="134">
        <v>45713</v>
      </c>
      <c r="B979" s="135">
        <v>5726.4</v>
      </c>
      <c r="C979" s="139">
        <f t="shared" si="30"/>
        <v>0.41823394797063512</v>
      </c>
      <c r="E979" s="136">
        <v>45713</v>
      </c>
      <c r="F979" s="137">
        <v>74440.3</v>
      </c>
      <c r="G979" s="139">
        <f t="shared" si="31"/>
        <v>-0.60505958798799386</v>
      </c>
    </row>
    <row r="980" spans="1:7" ht="16.2" thickBot="1" x14ac:dyDescent="0.35">
      <c r="A980" s="134">
        <v>45715</v>
      </c>
      <c r="B980" s="135">
        <v>5615.8</v>
      </c>
      <c r="C980" s="139">
        <f t="shared" si="30"/>
        <v>-1.9314054205085127</v>
      </c>
      <c r="E980" s="136">
        <v>45715</v>
      </c>
      <c r="F980" s="137">
        <v>74706.600000000006</v>
      </c>
      <c r="G980" s="139">
        <f t="shared" si="31"/>
        <v>0.35773633367947588</v>
      </c>
    </row>
    <row r="981" spans="1:7" ht="16.2" thickBot="1" x14ac:dyDescent="0.35">
      <c r="A981" s="134">
        <v>45716</v>
      </c>
      <c r="B981" s="135">
        <v>5480.25</v>
      </c>
      <c r="C981" s="139">
        <f t="shared" si="30"/>
        <v>-2.4137255600270699</v>
      </c>
      <c r="E981" s="136">
        <v>45716</v>
      </c>
      <c r="F981" s="137">
        <v>74201.77</v>
      </c>
      <c r="G981" s="139">
        <f t="shared" si="31"/>
        <v>-0.67575020145475995</v>
      </c>
    </row>
    <row r="982" spans="1:7" ht="16.2" thickBot="1" x14ac:dyDescent="0.35">
      <c r="A982" s="140">
        <v>45719</v>
      </c>
      <c r="B982" s="135">
        <v>5540.25</v>
      </c>
      <c r="C982" s="139">
        <f t="shared" si="30"/>
        <v>1.0948405638428904</v>
      </c>
      <c r="E982" s="136">
        <v>45719</v>
      </c>
      <c r="F982" s="137">
        <v>73427.649999999994</v>
      </c>
      <c r="G982" s="139">
        <f t="shared" si="31"/>
        <v>-1.0432635232286371</v>
      </c>
    </row>
    <row r="983" spans="1:7" ht="16.2" thickBot="1" x14ac:dyDescent="0.35">
      <c r="A983" s="140">
        <v>45720</v>
      </c>
      <c r="B983" s="135">
        <v>5517.7</v>
      </c>
      <c r="C983" s="139">
        <f t="shared" si="30"/>
        <v>-0.40702134380217825</v>
      </c>
      <c r="E983" s="136">
        <v>45720</v>
      </c>
      <c r="F983" s="137">
        <v>72817.34</v>
      </c>
      <c r="G983" s="139">
        <f t="shared" si="31"/>
        <v>-0.83117190867472646</v>
      </c>
    </row>
    <row r="984" spans="1:7" ht="16.2" thickBot="1" x14ac:dyDescent="0.35">
      <c r="A984" s="140">
        <v>45721</v>
      </c>
      <c r="B984" s="135">
        <v>5516.55</v>
      </c>
      <c r="C984" s="139">
        <f t="shared" si="30"/>
        <v>-2.0842017507288115E-2</v>
      </c>
      <c r="E984" s="136">
        <v>45721</v>
      </c>
      <c r="F984" s="137">
        <v>73005.37</v>
      </c>
      <c r="G984" s="139">
        <f t="shared" si="31"/>
        <v>0.25822146208581476</v>
      </c>
    </row>
    <row r="985" spans="1:7" ht="16.2" thickBot="1" x14ac:dyDescent="0.35">
      <c r="A985" s="140">
        <v>45722</v>
      </c>
      <c r="B985" s="135">
        <v>5568.7</v>
      </c>
      <c r="C985" s="139">
        <f t="shared" si="30"/>
        <v>0.94533721256944359</v>
      </c>
      <c r="E985" s="136">
        <v>45722</v>
      </c>
      <c r="F985" s="137">
        <v>74308.3</v>
      </c>
      <c r="G985" s="139">
        <f t="shared" si="31"/>
        <v>1.7847043306540431</v>
      </c>
    </row>
    <row r="986" spans="1:7" ht="16.2" thickBot="1" x14ac:dyDescent="0.35">
      <c r="A986" s="140">
        <v>45723</v>
      </c>
      <c r="B986" s="135">
        <v>5578.75</v>
      </c>
      <c r="C986" s="139">
        <f t="shared" si="30"/>
        <v>0.18047300087992138</v>
      </c>
      <c r="E986" s="136">
        <v>45723</v>
      </c>
      <c r="F986" s="137">
        <v>74347.14</v>
      </c>
      <c r="G986" s="139">
        <f t="shared" si="31"/>
        <v>5.2268723682275746E-2</v>
      </c>
    </row>
    <row r="987" spans="1:7" ht="16.2" thickBot="1" x14ac:dyDescent="0.35">
      <c r="A987" s="140">
        <v>45726</v>
      </c>
      <c r="B987" s="135">
        <v>5514.25</v>
      </c>
      <c r="C987" s="139">
        <f t="shared" si="30"/>
        <v>-1.1561729778176115</v>
      </c>
      <c r="E987" s="136">
        <v>45726</v>
      </c>
      <c r="F987" s="137">
        <v>74474.98</v>
      </c>
      <c r="G987" s="139">
        <f t="shared" si="31"/>
        <v>0.17195012477950936</v>
      </c>
    </row>
    <row r="988" spans="1:7" ht="16.2" thickBot="1" x14ac:dyDescent="0.35">
      <c r="A988" s="140">
        <v>45727</v>
      </c>
      <c r="B988" s="135">
        <v>5546.25</v>
      </c>
      <c r="C988" s="139">
        <f t="shared" si="30"/>
        <v>0.58031463934351912</v>
      </c>
      <c r="E988" s="136">
        <v>45727</v>
      </c>
      <c r="F988" s="137">
        <v>73743.88</v>
      </c>
      <c r="G988" s="139">
        <f t="shared" si="31"/>
        <v>-0.98167196553794489</v>
      </c>
    </row>
    <row r="989" spans="1:7" ht="16.2" thickBot="1" x14ac:dyDescent="0.35">
      <c r="A989" s="140">
        <v>45728</v>
      </c>
      <c r="B989" s="135">
        <v>5667.15</v>
      </c>
      <c r="C989" s="139">
        <f t="shared" si="30"/>
        <v>2.1798512508451591</v>
      </c>
      <c r="E989" s="136">
        <v>45728</v>
      </c>
      <c r="F989" s="137">
        <v>74270.81</v>
      </c>
      <c r="G989" s="139">
        <f t="shared" si="31"/>
        <v>0.71454065069534312</v>
      </c>
    </row>
    <row r="990" spans="1:7" ht="16.2" thickBot="1" x14ac:dyDescent="0.35">
      <c r="A990" s="134">
        <v>45729</v>
      </c>
      <c r="B990" s="135">
        <v>5620.45</v>
      </c>
      <c r="C990" s="139">
        <f t="shared" si="30"/>
        <v>-0.82404736066629303</v>
      </c>
      <c r="E990" s="136">
        <v>45729</v>
      </c>
      <c r="F990" s="137">
        <v>74392.539999999994</v>
      </c>
      <c r="G990" s="139">
        <f t="shared" si="31"/>
        <v>0.16390019174423429</v>
      </c>
    </row>
    <row r="991" spans="1:7" ht="16.2" thickBot="1" x14ac:dyDescent="0.35">
      <c r="A991" s="134">
        <v>45733</v>
      </c>
      <c r="B991" s="135">
        <v>5670.85</v>
      </c>
      <c r="C991" s="139">
        <f t="shared" si="30"/>
        <v>0.8967253511729586</v>
      </c>
      <c r="E991" s="136">
        <v>45733</v>
      </c>
      <c r="F991" s="137">
        <v>73830.03</v>
      </c>
      <c r="G991" s="139">
        <f t="shared" si="31"/>
        <v>-0.75613764498428848</v>
      </c>
    </row>
    <row r="992" spans="1:7" ht="16.2" thickBot="1" x14ac:dyDescent="0.35">
      <c r="A992" s="134">
        <v>45734</v>
      </c>
      <c r="B992" s="135">
        <v>5772.95</v>
      </c>
      <c r="C992" s="139">
        <f t="shared" si="30"/>
        <v>1.8004355608065712</v>
      </c>
      <c r="E992" s="136">
        <v>45734</v>
      </c>
      <c r="F992" s="137">
        <v>74608.66</v>
      </c>
      <c r="G992" s="139">
        <f t="shared" si="31"/>
        <v>1.0546250624576541</v>
      </c>
    </row>
    <row r="993" spans="1:7" ht="16.2" thickBot="1" x14ac:dyDescent="0.35">
      <c r="A993" s="134">
        <v>45735</v>
      </c>
      <c r="B993" s="135">
        <v>5818.1</v>
      </c>
      <c r="C993" s="139">
        <f t="shared" si="30"/>
        <v>0.78209580890187069</v>
      </c>
      <c r="E993" s="136">
        <v>45735</v>
      </c>
      <c r="F993" s="137">
        <v>75473.17</v>
      </c>
      <c r="G993" s="139">
        <f t="shared" si="31"/>
        <v>1.1587260781791211</v>
      </c>
    </row>
    <row r="994" spans="1:7" ht="16.2" thickBot="1" x14ac:dyDescent="0.35">
      <c r="A994" s="134">
        <v>45736</v>
      </c>
      <c r="B994" s="135">
        <v>5822.1</v>
      </c>
      <c r="C994" s="139">
        <f t="shared" si="30"/>
        <v>6.8750966810470771E-2</v>
      </c>
      <c r="E994" s="136">
        <v>45736</v>
      </c>
      <c r="F994" s="137">
        <v>75917.11</v>
      </c>
      <c r="G994" s="139">
        <f t="shared" si="31"/>
        <v>0.58820902845342571</v>
      </c>
    </row>
    <row r="995" spans="1:7" ht="16.2" thickBot="1" x14ac:dyDescent="0.35">
      <c r="A995" s="134">
        <v>45737</v>
      </c>
      <c r="B995" s="135">
        <v>5797.35</v>
      </c>
      <c r="C995" s="139">
        <f t="shared" si="30"/>
        <v>-0.4251043437934765</v>
      </c>
      <c r="E995" s="136">
        <v>45737</v>
      </c>
      <c r="F995" s="137">
        <v>76155</v>
      </c>
      <c r="G995" s="139">
        <f t="shared" si="31"/>
        <v>0.31335492091308459</v>
      </c>
    </row>
    <row r="996" spans="1:7" ht="16.2" thickBot="1" x14ac:dyDescent="0.35">
      <c r="A996" s="134">
        <v>45740</v>
      </c>
      <c r="B996" s="135">
        <v>5910.7</v>
      </c>
      <c r="C996" s="139">
        <f t="shared" si="30"/>
        <v>1.9552036706426117</v>
      </c>
      <c r="E996" s="136">
        <v>45740</v>
      </c>
      <c r="F996" s="137">
        <v>77456.27</v>
      </c>
      <c r="G996" s="139">
        <f t="shared" si="31"/>
        <v>1.7087124942551428</v>
      </c>
    </row>
    <row r="997" spans="1:7" ht="16.2" thickBot="1" x14ac:dyDescent="0.35">
      <c r="A997" s="134">
        <v>45741</v>
      </c>
      <c r="B997" s="135">
        <v>5840.65</v>
      </c>
      <c r="C997" s="139">
        <f t="shared" si="30"/>
        <v>-1.1851388160454799</v>
      </c>
      <c r="E997" s="136">
        <v>45741</v>
      </c>
      <c r="F997" s="137">
        <v>78296.28</v>
      </c>
      <c r="G997" s="139">
        <f t="shared" si="31"/>
        <v>1.0844958064724712</v>
      </c>
    </row>
    <row r="998" spans="1:7" ht="16.2" thickBot="1" x14ac:dyDescent="0.35">
      <c r="A998" s="134">
        <v>45742</v>
      </c>
      <c r="B998" s="135">
        <v>5839.2</v>
      </c>
      <c r="C998" s="139">
        <f t="shared" si="30"/>
        <v>-2.482600395503614E-2</v>
      </c>
      <c r="E998" s="136">
        <v>45742</v>
      </c>
      <c r="F998" s="137">
        <v>78021.45</v>
      </c>
      <c r="G998" s="139">
        <f t="shared" si="31"/>
        <v>-0.35101284505470981</v>
      </c>
    </row>
    <row r="999" spans="1:7" ht="16.2" thickBot="1" x14ac:dyDescent="0.35">
      <c r="A999" s="134">
        <v>45743</v>
      </c>
      <c r="B999" s="135">
        <v>5872.65</v>
      </c>
      <c r="C999" s="139">
        <f t="shared" si="30"/>
        <v>0.57285244554048198</v>
      </c>
      <c r="E999" s="136">
        <v>45743</v>
      </c>
      <c r="F999" s="137">
        <v>77087.39</v>
      </c>
      <c r="G999" s="139">
        <f t="shared" si="31"/>
        <v>-1.197183595024186</v>
      </c>
    </row>
    <row r="1000" spans="1:7" ht="16.2" thickBot="1" x14ac:dyDescent="0.35">
      <c r="A1000" s="134">
        <v>45744</v>
      </c>
      <c r="B1000" s="135">
        <v>5775.45</v>
      </c>
      <c r="C1000" s="139">
        <f t="shared" si="30"/>
        <v>-1.6551301371612444</v>
      </c>
      <c r="E1000" s="136">
        <v>45744</v>
      </c>
      <c r="F1000" s="137">
        <v>77690.69</v>
      </c>
      <c r="G1000" s="139">
        <f t="shared" si="31"/>
        <v>0.78261827258647998</v>
      </c>
    </row>
    <row r="1001" spans="1:7" ht="16.2" thickBot="1" x14ac:dyDescent="0.35">
      <c r="A1001" s="140">
        <v>45748</v>
      </c>
      <c r="B1001" s="135">
        <v>5549.7</v>
      </c>
      <c r="C1001" s="139">
        <f t="shared" si="30"/>
        <v>-3.9087863283380515</v>
      </c>
      <c r="E1001" s="136">
        <v>45748</v>
      </c>
      <c r="F1001" s="137">
        <v>76882.58</v>
      </c>
      <c r="G1001" s="139">
        <f t="shared" si="31"/>
        <v>-1.0401632422108757</v>
      </c>
    </row>
    <row r="1002" spans="1:7" ht="16.2" thickBot="1" x14ac:dyDescent="0.35">
      <c r="A1002" s="140">
        <v>45749</v>
      </c>
      <c r="B1002" s="135">
        <v>5666</v>
      </c>
      <c r="C1002" s="139">
        <f t="shared" si="30"/>
        <v>2.0956087716453178</v>
      </c>
      <c r="E1002" s="136">
        <v>45749</v>
      </c>
      <c r="F1002" s="137">
        <v>76146.28</v>
      </c>
      <c r="G1002" s="139">
        <f t="shared" si="31"/>
        <v>-0.95769418768205083</v>
      </c>
    </row>
    <row r="1003" spans="1:7" ht="16.2" thickBot="1" x14ac:dyDescent="0.35">
      <c r="A1003" s="140">
        <v>45750</v>
      </c>
      <c r="B1003" s="135">
        <v>5763</v>
      </c>
      <c r="C1003" s="139">
        <f t="shared" si="30"/>
        <v>1.7119661136604305</v>
      </c>
      <c r="E1003" s="136">
        <v>45750</v>
      </c>
      <c r="F1003" s="137">
        <v>75811.86</v>
      </c>
      <c r="G1003" s="139">
        <f t="shared" si="31"/>
        <v>-0.43918100792316878</v>
      </c>
    </row>
    <row r="1004" spans="1:7" ht="16.2" thickBot="1" x14ac:dyDescent="0.35">
      <c r="A1004" s="140">
        <v>45751</v>
      </c>
      <c r="B1004" s="135">
        <v>5482.85</v>
      </c>
      <c r="C1004" s="139">
        <f t="shared" si="30"/>
        <v>-4.8611834114176578</v>
      </c>
      <c r="E1004" s="136">
        <v>45751</v>
      </c>
      <c r="F1004" s="137">
        <v>76160.09</v>
      </c>
      <c r="G1004" s="139">
        <f t="shared" si="31"/>
        <v>0.45933446297188318</v>
      </c>
    </row>
    <row r="1005" spans="1:7" ht="16.2" thickBot="1" x14ac:dyDescent="0.35">
      <c r="A1005" s="140">
        <v>45754</v>
      </c>
      <c r="B1005" s="135">
        <v>5258.95</v>
      </c>
      <c r="C1005" s="139">
        <f t="shared" si="30"/>
        <v>-4.0836426311133902</v>
      </c>
      <c r="E1005" s="136">
        <v>45754</v>
      </c>
      <c r="F1005" s="137">
        <v>71449.94</v>
      </c>
      <c r="G1005" s="139">
        <f t="shared" si="31"/>
        <v>-6.1845383848679729</v>
      </c>
    </row>
    <row r="1006" spans="1:7" ht="16.2" thickBot="1" x14ac:dyDescent="0.35">
      <c r="A1006" s="140">
        <v>45755</v>
      </c>
      <c r="B1006" s="135">
        <v>5387.3</v>
      </c>
      <c r="C1006" s="139">
        <f t="shared" si="30"/>
        <v>2.4406012607079428</v>
      </c>
      <c r="E1006" s="136">
        <v>45755</v>
      </c>
      <c r="F1006" s="137">
        <v>74013.73</v>
      </c>
      <c r="G1006" s="139">
        <f t="shared" si="31"/>
        <v>3.5882325443520227</v>
      </c>
    </row>
    <row r="1007" spans="1:7" ht="16.2" thickBot="1" x14ac:dyDescent="0.35">
      <c r="A1007" s="140">
        <v>45756</v>
      </c>
      <c r="B1007" s="135">
        <v>5386.15</v>
      </c>
      <c r="C1007" s="139">
        <f t="shared" si="30"/>
        <v>-2.1346500102102088E-2</v>
      </c>
      <c r="E1007" s="136">
        <v>45756</v>
      </c>
      <c r="F1007" s="137">
        <v>74103.83</v>
      </c>
      <c r="G1007" s="139">
        <f t="shared" si="31"/>
        <v>0.12173417013303589</v>
      </c>
    </row>
    <row r="1008" spans="1:7" ht="16.2" thickBot="1" x14ac:dyDescent="0.35">
      <c r="A1008" s="140">
        <v>45758</v>
      </c>
      <c r="B1008" s="135">
        <v>5589.3</v>
      </c>
      <c r="C1008" s="139">
        <f t="shared" si="30"/>
        <v>3.7717107767143614</v>
      </c>
      <c r="E1008" s="136">
        <v>45758</v>
      </c>
      <c r="F1008" s="137">
        <v>74835.490000000005</v>
      </c>
      <c r="G1008" s="139">
        <f t="shared" si="31"/>
        <v>0.98734437882630821</v>
      </c>
    </row>
    <row r="1009" spans="1:7" ht="16.2" thickBot="1" x14ac:dyDescent="0.35">
      <c r="A1009" s="134">
        <v>45762</v>
      </c>
      <c r="B1009" s="135">
        <v>5734.5</v>
      </c>
      <c r="C1009" s="139">
        <f t="shared" si="30"/>
        <v>2.5978208362406709</v>
      </c>
      <c r="E1009" s="136">
        <v>45762</v>
      </c>
      <c r="F1009" s="137">
        <v>76852.06</v>
      </c>
      <c r="G1009" s="139">
        <f t="shared" si="31"/>
        <v>2.6946706702929215</v>
      </c>
    </row>
    <row r="1010" spans="1:7" ht="16.2" thickBot="1" x14ac:dyDescent="0.35">
      <c r="A1010" s="134">
        <v>45763</v>
      </c>
      <c r="B1010" s="135">
        <v>5754</v>
      </c>
      <c r="C1010" s="139">
        <f t="shared" si="30"/>
        <v>0.34004708344232276</v>
      </c>
      <c r="E1010" s="136">
        <v>45763</v>
      </c>
      <c r="F1010" s="137">
        <v>76996.78</v>
      </c>
      <c r="G1010" s="139">
        <f t="shared" si="31"/>
        <v>0.18830985142103046</v>
      </c>
    </row>
    <row r="1011" spans="1:7" ht="16.2" thickBot="1" x14ac:dyDescent="0.35">
      <c r="A1011" s="134">
        <v>45764</v>
      </c>
      <c r="B1011" s="135">
        <v>5640</v>
      </c>
      <c r="C1011" s="139">
        <f t="shared" si="30"/>
        <v>-1.9812304483837331</v>
      </c>
      <c r="E1011" s="136">
        <v>45764</v>
      </c>
      <c r="F1011" s="137">
        <v>76968.02</v>
      </c>
      <c r="G1011" s="139">
        <f t="shared" si="31"/>
        <v>-3.7352211352208189E-2</v>
      </c>
    </row>
    <row r="1012" spans="1:7" ht="16.2" thickBot="1" x14ac:dyDescent="0.35">
      <c r="A1012" s="134">
        <v>45768</v>
      </c>
      <c r="B1012" s="135">
        <v>5891.5</v>
      </c>
      <c r="C1012" s="139">
        <f t="shared" si="30"/>
        <v>4.4592198581560289</v>
      </c>
      <c r="E1012" s="136">
        <v>45768</v>
      </c>
      <c r="F1012" s="137">
        <v>78903.09</v>
      </c>
      <c r="G1012" s="139">
        <f t="shared" si="31"/>
        <v>2.5141220990224151</v>
      </c>
    </row>
    <row r="1013" spans="1:7" ht="16.2" thickBot="1" x14ac:dyDescent="0.35">
      <c r="A1013" s="134">
        <v>45769</v>
      </c>
      <c r="B1013" s="135">
        <v>5911.5</v>
      </c>
      <c r="C1013" s="139">
        <f t="shared" si="30"/>
        <v>0.33947212085207507</v>
      </c>
      <c r="E1013" s="136">
        <v>45769</v>
      </c>
      <c r="F1013" s="137">
        <v>79728.39</v>
      </c>
      <c r="G1013" s="139">
        <f t="shared" si="31"/>
        <v>1.0459666408501911</v>
      </c>
    </row>
    <row r="1014" spans="1:7" ht="16.2" thickBot="1" x14ac:dyDescent="0.35">
      <c r="A1014" s="134">
        <v>45770</v>
      </c>
      <c r="B1014" s="135">
        <v>5924.5</v>
      </c>
      <c r="C1014" s="139">
        <f t="shared" si="30"/>
        <v>0.21991034424426967</v>
      </c>
      <c r="E1014" s="136">
        <v>45770</v>
      </c>
      <c r="F1014" s="137">
        <v>80142.09</v>
      </c>
      <c r="G1014" s="139">
        <f t="shared" si="31"/>
        <v>0.51888668515693981</v>
      </c>
    </row>
    <row r="1015" spans="1:7" ht="16.2" thickBot="1" x14ac:dyDescent="0.35">
      <c r="A1015" s="134">
        <v>45771</v>
      </c>
      <c r="B1015" s="135">
        <v>6215.5</v>
      </c>
      <c r="C1015" s="139">
        <f t="shared" si="30"/>
        <v>4.9118069035361627</v>
      </c>
      <c r="E1015" s="136">
        <v>45771</v>
      </c>
      <c r="F1015" s="137">
        <v>80058.429999999993</v>
      </c>
      <c r="G1015" s="139">
        <f t="shared" si="31"/>
        <v>-0.10438959103762266</v>
      </c>
    </row>
    <row r="1016" spans="1:7" ht="16.2" thickBot="1" x14ac:dyDescent="0.35">
      <c r="A1016" s="134">
        <v>45772</v>
      </c>
      <c r="B1016" s="135">
        <v>6012.5</v>
      </c>
      <c r="C1016" s="139">
        <f t="shared" si="30"/>
        <v>-3.2660284771941113</v>
      </c>
      <c r="E1016" s="136">
        <v>45772</v>
      </c>
      <c r="F1016" s="137">
        <v>79830.149999999994</v>
      </c>
      <c r="G1016" s="139">
        <f t="shared" si="31"/>
        <v>-0.28514173960193678</v>
      </c>
    </row>
    <row r="1017" spans="1:7" ht="16.2" thickBot="1" x14ac:dyDescent="0.35">
      <c r="A1017" s="134">
        <v>45775</v>
      </c>
      <c r="B1017" s="135">
        <v>6026.5</v>
      </c>
      <c r="C1017" s="139">
        <f t="shared" si="30"/>
        <v>0.23284823284823283</v>
      </c>
      <c r="E1017" s="136">
        <v>45775</v>
      </c>
      <c r="F1017" s="137">
        <v>79343.63</v>
      </c>
      <c r="G1017" s="139">
        <f t="shared" si="31"/>
        <v>-0.60944392563459993</v>
      </c>
    </row>
    <row r="1018" spans="1:7" ht="16.2" thickBot="1" x14ac:dyDescent="0.35">
      <c r="A1018" s="134">
        <v>45776</v>
      </c>
      <c r="B1018" s="135">
        <v>6108</v>
      </c>
      <c r="C1018" s="139">
        <f t="shared" si="30"/>
        <v>1.3523604081971294</v>
      </c>
      <c r="E1018" s="136">
        <v>45776</v>
      </c>
      <c r="F1018" s="137">
        <v>80396.92</v>
      </c>
      <c r="G1018" s="139">
        <f t="shared" si="31"/>
        <v>1.3275041739330473</v>
      </c>
    </row>
    <row r="1019" spans="1:7" ht="16.2" thickBot="1" x14ac:dyDescent="0.35">
      <c r="A1019" s="134">
        <v>45777</v>
      </c>
      <c r="B1019" s="135">
        <v>6087</v>
      </c>
      <c r="C1019" s="139">
        <f t="shared" si="30"/>
        <v>-0.34381139489194501</v>
      </c>
      <c r="E1019" s="136">
        <v>45777</v>
      </c>
      <c r="F1019" s="137">
        <v>80370.8</v>
      </c>
      <c r="G1019" s="139">
        <f t="shared" si="31"/>
        <v>-3.2488806785129755E-2</v>
      </c>
    </row>
    <row r="1020" spans="1:7" ht="16.2" thickBot="1" x14ac:dyDescent="0.35">
      <c r="A1020" s="140">
        <v>45779</v>
      </c>
      <c r="B1020" s="135">
        <v>6104</v>
      </c>
      <c r="C1020" s="139">
        <f t="shared" si="30"/>
        <v>0.2792837194020043</v>
      </c>
      <c r="E1020" s="136">
        <v>45779</v>
      </c>
      <c r="F1020" s="137">
        <v>80300.19</v>
      </c>
      <c r="G1020" s="139">
        <f t="shared" si="31"/>
        <v>-8.7855290727478857E-2</v>
      </c>
    </row>
    <row r="1021" spans="1:7" ht="16.2" thickBot="1" x14ac:dyDescent="0.35">
      <c r="A1021" s="140">
        <v>45782</v>
      </c>
      <c r="B1021" s="135">
        <v>6124.5</v>
      </c>
      <c r="C1021" s="139">
        <f t="shared" si="30"/>
        <v>0.33584534731323723</v>
      </c>
      <c r="E1021" s="136">
        <v>45782</v>
      </c>
      <c r="F1021" s="137">
        <v>80661.62</v>
      </c>
      <c r="G1021" s="139">
        <f t="shared" si="31"/>
        <v>0.45009856141061805</v>
      </c>
    </row>
    <row r="1022" spans="1:7" ht="16.2" thickBot="1" x14ac:dyDescent="0.35">
      <c r="A1022" s="140">
        <v>45783</v>
      </c>
      <c r="B1022" s="135">
        <v>6161</v>
      </c>
      <c r="C1022" s="139">
        <f t="shared" si="30"/>
        <v>0.59596701771573191</v>
      </c>
      <c r="E1022" s="136">
        <v>45783</v>
      </c>
      <c r="F1022" s="137">
        <v>80907.240000000005</v>
      </c>
      <c r="G1022" s="139">
        <f t="shared" si="31"/>
        <v>0.30450665384604214</v>
      </c>
    </row>
    <row r="1023" spans="1:7" ht="16.2" thickBot="1" x14ac:dyDescent="0.35">
      <c r="A1023" s="140">
        <v>45784</v>
      </c>
      <c r="B1023" s="135">
        <v>6148</v>
      </c>
      <c r="C1023" s="139">
        <f t="shared" si="30"/>
        <v>-0.21100470702807983</v>
      </c>
      <c r="E1023" s="136">
        <v>45784</v>
      </c>
      <c r="F1023" s="137">
        <v>79948.800000000003</v>
      </c>
      <c r="G1023" s="139">
        <f t="shared" si="31"/>
        <v>-1.1846158637966173</v>
      </c>
    </row>
    <row r="1024" spans="1:7" ht="16.2" thickBot="1" x14ac:dyDescent="0.35">
      <c r="A1024" s="140">
        <v>45785</v>
      </c>
      <c r="B1024" s="135">
        <v>5960.5</v>
      </c>
      <c r="C1024" s="139">
        <f t="shared" si="30"/>
        <v>-3.0497722836694861</v>
      </c>
      <c r="E1024" s="136">
        <v>45785</v>
      </c>
      <c r="F1024" s="137">
        <v>80912.34</v>
      </c>
      <c r="G1024" s="139">
        <f t="shared" si="31"/>
        <v>1.2051963256484068</v>
      </c>
    </row>
    <row r="1025" spans="1:7" ht="16.2" thickBot="1" x14ac:dyDescent="0.35">
      <c r="A1025" s="140">
        <v>45786</v>
      </c>
      <c r="B1025" s="135">
        <v>6025.5</v>
      </c>
      <c r="C1025" s="139">
        <f t="shared" si="30"/>
        <v>1.0905125408942202</v>
      </c>
      <c r="E1025" s="136">
        <v>45786</v>
      </c>
      <c r="F1025" s="137">
        <v>78968.34</v>
      </c>
      <c r="G1025" s="139">
        <f t="shared" si="31"/>
        <v>-2.4026001472704905</v>
      </c>
    </row>
    <row r="1026" spans="1:7" ht="16.2" thickBot="1" x14ac:dyDescent="0.35">
      <c r="A1026" s="140">
        <v>45789</v>
      </c>
      <c r="B1026" s="135">
        <v>5942</v>
      </c>
      <c r="C1026" s="139">
        <f t="shared" si="30"/>
        <v>-1.3857771139324537</v>
      </c>
      <c r="E1026" s="136">
        <v>45789</v>
      </c>
      <c r="F1026" s="137">
        <v>80803.8</v>
      </c>
      <c r="G1026" s="139">
        <f t="shared" si="31"/>
        <v>2.3242985733269896</v>
      </c>
    </row>
    <row r="1027" spans="1:7" ht="16.2" thickBot="1" x14ac:dyDescent="0.35">
      <c r="A1027" s="134">
        <v>45790</v>
      </c>
      <c r="B1027" s="135">
        <v>6076.5</v>
      </c>
      <c r="C1027" s="139">
        <f t="shared" si="30"/>
        <v>2.2635476270615955</v>
      </c>
      <c r="E1027" s="136">
        <v>45790</v>
      </c>
      <c r="F1027" s="137">
        <v>82249.600000000006</v>
      </c>
      <c r="G1027" s="139">
        <f t="shared" si="31"/>
        <v>1.7892722866993913</v>
      </c>
    </row>
    <row r="1028" spans="1:7" ht="16.2" thickBot="1" x14ac:dyDescent="0.35">
      <c r="A1028" s="134">
        <v>45791</v>
      </c>
      <c r="B1028" s="135">
        <v>6215.5</v>
      </c>
      <c r="C1028" s="139">
        <f t="shared" si="30"/>
        <v>2.2875010285526209</v>
      </c>
      <c r="E1028" s="136">
        <v>45791</v>
      </c>
      <c r="F1028" s="137">
        <v>81278.490000000005</v>
      </c>
      <c r="G1028" s="139">
        <f t="shared" si="31"/>
        <v>-1.1806865930047084</v>
      </c>
    </row>
    <row r="1029" spans="1:7" ht="16.2" thickBot="1" x14ac:dyDescent="0.35">
      <c r="A1029" s="134">
        <v>45792</v>
      </c>
      <c r="B1029" s="135">
        <v>6214.5</v>
      </c>
      <c r="C1029" s="139">
        <f t="shared" si="30"/>
        <v>-1.6088810232483309E-2</v>
      </c>
      <c r="E1029" s="136">
        <v>45792</v>
      </c>
      <c r="F1029" s="137">
        <v>81354.429999999993</v>
      </c>
      <c r="G1029" s="139">
        <f t="shared" si="31"/>
        <v>9.3431853864396064E-2</v>
      </c>
    </row>
    <row r="1030" spans="1:7" ht="16.2" thickBot="1" x14ac:dyDescent="0.35">
      <c r="A1030" s="134">
        <v>45793</v>
      </c>
      <c r="B1030" s="135">
        <v>6279.5</v>
      </c>
      <c r="C1030" s="139">
        <f t="shared" si="30"/>
        <v>1.04594094456513</v>
      </c>
      <c r="E1030" s="136">
        <v>45793</v>
      </c>
      <c r="F1030" s="137">
        <v>82392.63</v>
      </c>
      <c r="G1030" s="139">
        <f t="shared" si="31"/>
        <v>1.276144396807908</v>
      </c>
    </row>
    <row r="1031" spans="1:7" ht="16.2" thickBot="1" x14ac:dyDescent="0.35">
      <c r="A1031" s="134">
        <v>45796</v>
      </c>
      <c r="B1031" s="135">
        <v>6580</v>
      </c>
      <c r="C1031" s="139">
        <f t="shared" si="30"/>
        <v>4.7854128513416674</v>
      </c>
      <c r="E1031" s="136">
        <v>45796</v>
      </c>
      <c r="F1031" s="137">
        <v>82354.92</v>
      </c>
      <c r="G1031" s="139">
        <f t="shared" si="31"/>
        <v>-4.5768656735446361E-2</v>
      </c>
    </row>
    <row r="1032" spans="1:7" ht="16.2" thickBot="1" x14ac:dyDescent="0.35">
      <c r="A1032" s="134">
        <v>45797</v>
      </c>
      <c r="B1032" s="135">
        <v>6452.5</v>
      </c>
      <c r="C1032" s="139">
        <f t="shared" ref="C1032:C1095" si="32">(B1032-B1031)/B1031*100</f>
        <v>-1.9376899696048631</v>
      </c>
      <c r="E1032" s="136">
        <v>45797</v>
      </c>
      <c r="F1032" s="137">
        <v>82116.17</v>
      </c>
      <c r="G1032" s="139">
        <f t="shared" ref="G1032:G1095" si="33">(F1032-F1031)/F1031*100</f>
        <v>-0.28990374831279053</v>
      </c>
    </row>
    <row r="1033" spans="1:7" ht="16.2" thickBot="1" x14ac:dyDescent="0.35">
      <c r="A1033" s="134">
        <v>45798</v>
      </c>
      <c r="B1033" s="135">
        <v>6552</v>
      </c>
      <c r="C1033" s="139">
        <f t="shared" si="32"/>
        <v>1.5420379697791553</v>
      </c>
      <c r="E1033" s="136">
        <v>45798</v>
      </c>
      <c r="F1033" s="137">
        <v>81327.61</v>
      </c>
      <c r="G1033" s="139">
        <f t="shared" si="33"/>
        <v>-0.96029807527554889</v>
      </c>
    </row>
    <row r="1034" spans="1:7" ht="16.2" thickBot="1" x14ac:dyDescent="0.35">
      <c r="A1034" s="134">
        <v>45799</v>
      </c>
      <c r="B1034" s="135">
        <v>6538</v>
      </c>
      <c r="C1034" s="139">
        <f t="shared" si="32"/>
        <v>-0.21367521367521369</v>
      </c>
      <c r="E1034" s="136">
        <v>45799</v>
      </c>
      <c r="F1034" s="137">
        <v>81323.05</v>
      </c>
      <c r="G1034" s="139">
        <f t="shared" si="33"/>
        <v>-5.6069519318195527E-3</v>
      </c>
    </row>
    <row r="1035" spans="1:7" ht="16.2" thickBot="1" x14ac:dyDescent="0.35">
      <c r="A1035" s="134">
        <v>45800</v>
      </c>
      <c r="B1035" s="135">
        <v>6483</v>
      </c>
      <c r="C1035" s="139">
        <f t="shared" si="32"/>
        <v>-0.84123585194249006</v>
      </c>
      <c r="E1035" s="136">
        <v>45800</v>
      </c>
      <c r="F1035" s="137">
        <v>80897</v>
      </c>
      <c r="G1035" s="139">
        <f t="shared" si="33"/>
        <v>-0.52389820598219428</v>
      </c>
    </row>
    <row r="1036" spans="1:7" ht="16.2" thickBot="1" x14ac:dyDescent="0.35">
      <c r="A1036" s="134">
        <v>45803</v>
      </c>
      <c r="B1036" s="135">
        <v>6737</v>
      </c>
      <c r="C1036" s="139">
        <f t="shared" si="32"/>
        <v>3.9179392256671295</v>
      </c>
      <c r="E1036" s="136">
        <v>45803</v>
      </c>
      <c r="F1036" s="137">
        <v>81928.95</v>
      </c>
      <c r="G1036" s="139">
        <f t="shared" si="33"/>
        <v>1.2756344487434603</v>
      </c>
    </row>
    <row r="1037" spans="1:7" ht="16.2" thickBot="1" x14ac:dyDescent="0.35">
      <c r="A1037" s="134">
        <v>45804</v>
      </c>
      <c r="B1037" s="135">
        <v>6698</v>
      </c>
      <c r="C1037" s="139">
        <f t="shared" si="32"/>
        <v>-0.57889268220276091</v>
      </c>
      <c r="E1037" s="136">
        <v>45804</v>
      </c>
      <c r="F1037" s="137">
        <v>82038.2</v>
      </c>
      <c r="G1037" s="139">
        <f t="shared" si="33"/>
        <v>0.13334724782875895</v>
      </c>
    </row>
    <row r="1038" spans="1:7" ht="16.2" thickBot="1" x14ac:dyDescent="0.35">
      <c r="A1038" s="134">
        <v>45805</v>
      </c>
      <c r="B1038" s="135">
        <v>6636</v>
      </c>
      <c r="C1038" s="139">
        <f t="shared" si="32"/>
        <v>-0.92564944759629741</v>
      </c>
      <c r="E1038" s="136">
        <v>45805</v>
      </c>
      <c r="F1038" s="137">
        <v>81457.61</v>
      </c>
      <c r="G1038" s="139">
        <f t="shared" si="33"/>
        <v>-0.70770689751846882</v>
      </c>
    </row>
    <row r="1039" spans="1:7" ht="16.2" thickBot="1" x14ac:dyDescent="0.35">
      <c r="A1039" s="134">
        <v>45806</v>
      </c>
      <c r="B1039" s="135">
        <v>6631.5</v>
      </c>
      <c r="C1039" s="139">
        <f t="shared" si="32"/>
        <v>-6.7811934900542492E-2</v>
      </c>
      <c r="E1039" s="136">
        <v>45806</v>
      </c>
      <c r="F1039" s="137">
        <v>81591.03</v>
      </c>
      <c r="G1039" s="139">
        <f t="shared" si="33"/>
        <v>0.16379071274003526</v>
      </c>
    </row>
    <row r="1040" spans="1:7" ht="16.2" thickBot="1" x14ac:dyDescent="0.35">
      <c r="A1040" s="134">
        <v>45807</v>
      </c>
      <c r="B1040" s="135">
        <v>6612</v>
      </c>
      <c r="C1040" s="139">
        <f t="shared" si="32"/>
        <v>-0.29405111965618635</v>
      </c>
      <c r="E1040" s="136">
        <v>45807</v>
      </c>
      <c r="F1040" s="137">
        <v>81465.69</v>
      </c>
      <c r="G1040" s="139">
        <f t="shared" si="33"/>
        <v>-0.15361982806197755</v>
      </c>
    </row>
    <row r="1041" spans="1:7" ht="16.2" thickBot="1" x14ac:dyDescent="0.35">
      <c r="A1041" s="140">
        <v>45810</v>
      </c>
      <c r="B1041" s="135">
        <v>6539</v>
      </c>
      <c r="C1041" s="139">
        <f t="shared" si="32"/>
        <v>-1.1040532365396249</v>
      </c>
      <c r="E1041" s="136">
        <v>45810</v>
      </c>
      <c r="F1041" s="137">
        <v>81214.42</v>
      </c>
      <c r="G1041" s="139">
        <f t="shared" si="33"/>
        <v>-0.30843659459584033</v>
      </c>
    </row>
    <row r="1042" spans="1:7" ht="16.2" thickBot="1" x14ac:dyDescent="0.35">
      <c r="A1042" s="140">
        <v>45811</v>
      </c>
      <c r="B1042" s="135">
        <v>6530</v>
      </c>
      <c r="C1042" s="139">
        <f t="shared" si="32"/>
        <v>-0.13763572411683742</v>
      </c>
      <c r="E1042" s="136">
        <v>45811</v>
      </c>
      <c r="F1042" s="137">
        <v>81492.5</v>
      </c>
      <c r="G1042" s="139">
        <f t="shared" si="33"/>
        <v>0.34240224827069099</v>
      </c>
    </row>
    <row r="1043" spans="1:7" ht="16.2" thickBot="1" x14ac:dyDescent="0.35">
      <c r="A1043" s="140">
        <v>45812</v>
      </c>
      <c r="B1043" s="135">
        <v>6618</v>
      </c>
      <c r="C1043" s="139">
        <f t="shared" si="32"/>
        <v>1.3476263399693722</v>
      </c>
      <c r="E1043" s="136">
        <v>45812</v>
      </c>
      <c r="F1043" s="137">
        <v>80777.649999999994</v>
      </c>
      <c r="G1043" s="139">
        <f t="shared" si="33"/>
        <v>-0.87719728809400355</v>
      </c>
    </row>
    <row r="1044" spans="1:7" ht="16.2" thickBot="1" x14ac:dyDescent="0.35">
      <c r="A1044" s="140">
        <v>45813</v>
      </c>
      <c r="B1044" s="135">
        <v>6628.5</v>
      </c>
      <c r="C1044" s="139">
        <f t="shared" si="32"/>
        <v>0.1586582048957389</v>
      </c>
      <c r="E1044" s="136">
        <v>45813</v>
      </c>
      <c r="F1044" s="137">
        <v>81196.08</v>
      </c>
      <c r="G1044" s="139">
        <f t="shared" si="33"/>
        <v>0.51800219491407284</v>
      </c>
    </row>
    <row r="1045" spans="1:7" ht="16.2" thickBot="1" x14ac:dyDescent="0.35">
      <c r="A1045" s="140">
        <v>45814</v>
      </c>
      <c r="B1045" s="135">
        <v>6544.5</v>
      </c>
      <c r="C1045" s="139">
        <f t="shared" si="32"/>
        <v>-1.2672550350758089</v>
      </c>
      <c r="E1045" s="136">
        <v>45814</v>
      </c>
      <c r="F1045" s="137">
        <v>81434.240000000005</v>
      </c>
      <c r="G1045" s="139">
        <f t="shared" si="33"/>
        <v>0.29331465262855483</v>
      </c>
    </row>
    <row r="1046" spans="1:7" ht="16.2" thickBot="1" x14ac:dyDescent="0.35">
      <c r="A1046" s="140">
        <v>45817</v>
      </c>
      <c r="B1046" s="135">
        <v>6633</v>
      </c>
      <c r="C1046" s="139">
        <f t="shared" si="32"/>
        <v>1.3522805409122163</v>
      </c>
      <c r="E1046" s="136">
        <v>45817</v>
      </c>
      <c r="F1046" s="137">
        <v>82574.55</v>
      </c>
      <c r="G1046" s="139">
        <f t="shared" si="33"/>
        <v>1.4002832223890069</v>
      </c>
    </row>
    <row r="1047" spans="1:7" ht="16.2" thickBot="1" x14ac:dyDescent="0.35">
      <c r="A1047" s="140">
        <v>45818</v>
      </c>
      <c r="B1047" s="135">
        <v>6674</v>
      </c>
      <c r="C1047" s="139">
        <f t="shared" si="32"/>
        <v>0.61812151364390167</v>
      </c>
      <c r="E1047" s="136">
        <v>45818</v>
      </c>
      <c r="F1047" s="137">
        <v>82643.73</v>
      </c>
      <c r="G1047" s="139">
        <f t="shared" si="33"/>
        <v>8.3778839848346748E-2</v>
      </c>
    </row>
    <row r="1048" spans="1:7" ht="16.2" thickBot="1" x14ac:dyDescent="0.35">
      <c r="A1048" s="140">
        <v>45819</v>
      </c>
      <c r="B1048" s="135">
        <v>6719</v>
      </c>
      <c r="C1048" s="139">
        <f t="shared" si="32"/>
        <v>0.67425831585256224</v>
      </c>
      <c r="E1048" s="136">
        <v>45819</v>
      </c>
      <c r="F1048" s="137">
        <v>82473.02</v>
      </c>
      <c r="G1048" s="139">
        <f t="shared" si="33"/>
        <v>-0.20656134470212303</v>
      </c>
    </row>
    <row r="1049" spans="1:7" ht="16.2" thickBot="1" x14ac:dyDescent="0.35">
      <c r="A1049" s="140">
        <v>45820</v>
      </c>
      <c r="B1049" s="135">
        <v>6725</v>
      </c>
      <c r="C1049" s="139">
        <f t="shared" si="32"/>
        <v>8.929900282780176E-2</v>
      </c>
      <c r="E1049" s="136">
        <v>45820</v>
      </c>
      <c r="F1049" s="137">
        <v>82571.67</v>
      </c>
      <c r="G1049" s="139">
        <f t="shared" si="33"/>
        <v>0.11961487526465525</v>
      </c>
    </row>
    <row r="1050" spans="1:7" ht="16.2" thickBot="1" x14ac:dyDescent="0.35">
      <c r="A1050" s="134">
        <v>45821</v>
      </c>
      <c r="B1050" s="135">
        <v>6667</v>
      </c>
      <c r="C1050" s="139">
        <f t="shared" si="32"/>
        <v>-0.8624535315985129</v>
      </c>
      <c r="E1050" s="136">
        <v>45821</v>
      </c>
      <c r="F1050" s="137">
        <v>80427.81</v>
      </c>
      <c r="G1050" s="139">
        <f t="shared" si="33"/>
        <v>-2.5963626507735653</v>
      </c>
    </row>
    <row r="1051" spans="1:7" ht="16.2" thickBot="1" x14ac:dyDescent="0.35">
      <c r="A1051" s="134">
        <v>45824</v>
      </c>
      <c r="B1051" s="135">
        <v>6687.5</v>
      </c>
      <c r="C1051" s="139">
        <f t="shared" si="32"/>
        <v>0.30748462576871155</v>
      </c>
      <c r="E1051" s="136">
        <v>45824</v>
      </c>
      <c r="F1051" s="137">
        <v>81034.45</v>
      </c>
      <c r="G1051" s="139">
        <f t="shared" si="33"/>
        <v>0.75426646579087442</v>
      </c>
    </row>
    <row r="1052" spans="1:7" ht="16.2" thickBot="1" x14ac:dyDescent="0.35">
      <c r="A1052" s="134">
        <v>45825</v>
      </c>
      <c r="B1052" s="135">
        <v>6538</v>
      </c>
      <c r="C1052" s="139">
        <f t="shared" si="32"/>
        <v>-2.2355140186915889</v>
      </c>
      <c r="E1052" s="136">
        <v>45825</v>
      </c>
      <c r="F1052" s="137">
        <v>81869.47</v>
      </c>
      <c r="G1052" s="139">
        <f t="shared" si="33"/>
        <v>1.0304506293311106</v>
      </c>
    </row>
    <row r="1053" spans="1:7" ht="16.2" thickBot="1" x14ac:dyDescent="0.35">
      <c r="A1053" s="134">
        <v>45826</v>
      </c>
      <c r="B1053" s="135">
        <v>6549</v>
      </c>
      <c r="C1053" s="139">
        <f t="shared" si="32"/>
        <v>0.16824717038849801</v>
      </c>
      <c r="E1053" s="136">
        <v>45826</v>
      </c>
      <c r="F1053" s="137">
        <v>81314.62</v>
      </c>
      <c r="G1053" s="139">
        <f t="shared" si="33"/>
        <v>-0.67772516421567863</v>
      </c>
    </row>
    <row r="1054" spans="1:7" ht="16.2" thickBot="1" x14ac:dyDescent="0.35">
      <c r="A1054" s="134">
        <v>45827</v>
      </c>
      <c r="B1054" s="135">
        <v>6493</v>
      </c>
      <c r="C1054" s="139">
        <f t="shared" si="32"/>
        <v>-0.85509238051610925</v>
      </c>
      <c r="E1054" s="136">
        <v>45827</v>
      </c>
      <c r="F1054" s="137">
        <v>81403.94</v>
      </c>
      <c r="G1054" s="139">
        <f t="shared" si="33"/>
        <v>0.10984494547229882</v>
      </c>
    </row>
    <row r="1055" spans="1:7" ht="16.2" thickBot="1" x14ac:dyDescent="0.35">
      <c r="A1055" s="134">
        <v>45828</v>
      </c>
      <c r="B1055" s="135">
        <v>6592</v>
      </c>
      <c r="C1055" s="139">
        <f t="shared" si="32"/>
        <v>1.52471892807639</v>
      </c>
      <c r="E1055" s="136">
        <v>45828</v>
      </c>
      <c r="F1055" s="137">
        <v>81354.850000000006</v>
      </c>
      <c r="G1055" s="139">
        <f t="shared" si="33"/>
        <v>-6.0304206405729879E-2</v>
      </c>
    </row>
    <row r="1056" spans="1:7" ht="16.2" thickBot="1" x14ac:dyDescent="0.35">
      <c r="A1056" s="134">
        <v>45831</v>
      </c>
      <c r="B1056" s="135">
        <v>6636</v>
      </c>
      <c r="C1056" s="139">
        <f t="shared" si="32"/>
        <v>0.66747572815533973</v>
      </c>
      <c r="E1056" s="136">
        <v>45831</v>
      </c>
      <c r="F1056" s="137">
        <v>81704.070000000007</v>
      </c>
      <c r="G1056" s="139">
        <f t="shared" si="33"/>
        <v>0.42925529332301776</v>
      </c>
    </row>
    <row r="1057" spans="1:7" ht="16.2" thickBot="1" x14ac:dyDescent="0.35">
      <c r="A1057" s="134">
        <v>45832</v>
      </c>
      <c r="B1057" s="135">
        <v>6565.5</v>
      </c>
      <c r="C1057" s="139">
        <f t="shared" si="32"/>
        <v>-1.0623869801084991</v>
      </c>
      <c r="E1057" s="136">
        <v>45832</v>
      </c>
      <c r="F1057" s="137">
        <v>82534.61</v>
      </c>
      <c r="G1057" s="139">
        <f t="shared" si="33"/>
        <v>1.0165221879399564</v>
      </c>
    </row>
    <row r="1058" spans="1:7" ht="16.2" thickBot="1" x14ac:dyDescent="0.35">
      <c r="A1058" s="134">
        <v>45833</v>
      </c>
      <c r="B1058" s="135">
        <v>6586.5</v>
      </c>
      <c r="C1058" s="139">
        <f t="shared" si="32"/>
        <v>0.31985378112862689</v>
      </c>
      <c r="E1058" s="136">
        <v>45833</v>
      </c>
      <c r="F1058" s="137">
        <v>82448.800000000003</v>
      </c>
      <c r="G1058" s="139">
        <f t="shared" si="33"/>
        <v>-0.10396850484905384</v>
      </c>
    </row>
    <row r="1059" spans="1:7" ht="16.2" thickBot="1" x14ac:dyDescent="0.35">
      <c r="A1059" s="134">
        <v>45834</v>
      </c>
      <c r="B1059" s="135">
        <v>6616</v>
      </c>
      <c r="C1059" s="139">
        <f t="shared" si="32"/>
        <v>0.44788582707052305</v>
      </c>
      <c r="E1059" s="136">
        <v>45834</v>
      </c>
      <c r="F1059" s="137">
        <v>82882.92</v>
      </c>
      <c r="G1059" s="139">
        <f t="shared" si="33"/>
        <v>0.52653283007150542</v>
      </c>
    </row>
    <row r="1060" spans="1:7" ht="16.2" thickBot="1" x14ac:dyDescent="0.35">
      <c r="A1060" s="134">
        <v>45835</v>
      </c>
      <c r="B1060" s="135">
        <v>6658</v>
      </c>
      <c r="C1060" s="139">
        <f t="shared" si="32"/>
        <v>0.6348246674727932</v>
      </c>
      <c r="E1060" s="136">
        <v>45835</v>
      </c>
      <c r="F1060" s="137">
        <v>83774.45</v>
      </c>
      <c r="G1060" s="139">
        <f t="shared" si="33"/>
        <v>1.0756498443828943</v>
      </c>
    </row>
    <row r="1061" spans="1:7" ht="16.2" thickBot="1" x14ac:dyDescent="0.35">
      <c r="A1061" s="134">
        <v>45838</v>
      </c>
      <c r="B1061" s="135">
        <v>6809.5</v>
      </c>
      <c r="C1061" s="139">
        <f t="shared" si="32"/>
        <v>2.2754580955241814</v>
      </c>
      <c r="E1061" s="136">
        <v>45838</v>
      </c>
      <c r="F1061" s="137">
        <v>84027.33</v>
      </c>
      <c r="G1061" s="139">
        <f t="shared" si="33"/>
        <v>0.30185814410002654</v>
      </c>
    </row>
    <row r="1062" spans="1:7" ht="16.2" thickBot="1" x14ac:dyDescent="0.35">
      <c r="A1062" s="140">
        <v>45839</v>
      </c>
      <c r="B1062" s="135">
        <v>6856.5</v>
      </c>
      <c r="C1062" s="139">
        <f t="shared" si="32"/>
        <v>0.69021220353917323</v>
      </c>
      <c r="E1062" s="136">
        <v>45839</v>
      </c>
      <c r="F1062" s="137">
        <v>83685.66</v>
      </c>
      <c r="G1062" s="139">
        <f t="shared" si="33"/>
        <v>-0.40661770402558095</v>
      </c>
    </row>
    <row r="1063" spans="1:7" ht="16.2" thickBot="1" x14ac:dyDescent="0.35">
      <c r="A1063" s="140">
        <v>45840</v>
      </c>
      <c r="B1063" s="135">
        <v>6859.5</v>
      </c>
      <c r="C1063" s="139">
        <f t="shared" si="32"/>
        <v>4.375410194705754E-2</v>
      </c>
      <c r="E1063" s="136">
        <v>45840</v>
      </c>
      <c r="F1063" s="137">
        <v>83790.720000000001</v>
      </c>
      <c r="G1063" s="139">
        <f t="shared" si="33"/>
        <v>0.12554122175770338</v>
      </c>
    </row>
    <row r="1064" spans="1:7" ht="16.2" thickBot="1" x14ac:dyDescent="0.35">
      <c r="A1064" s="140">
        <v>45841</v>
      </c>
      <c r="B1064" s="135">
        <v>6876</v>
      </c>
      <c r="C1064" s="139">
        <f t="shared" si="32"/>
        <v>0.24054231357970696</v>
      </c>
      <c r="E1064" s="136">
        <v>45841</v>
      </c>
      <c r="F1064" s="137">
        <v>83540.740000000005</v>
      </c>
      <c r="G1064" s="139">
        <f t="shared" si="33"/>
        <v>-0.2983385272259218</v>
      </c>
    </row>
    <row r="1065" spans="1:7" ht="16.2" thickBot="1" x14ac:dyDescent="0.35">
      <c r="A1065" s="140">
        <v>45842</v>
      </c>
      <c r="B1065" s="135">
        <v>6906.5</v>
      </c>
      <c r="C1065" s="139">
        <f t="shared" si="32"/>
        <v>0.44357184409540434</v>
      </c>
      <c r="E1065" s="136">
        <v>45842</v>
      </c>
      <c r="F1065" s="137">
        <v>83306.81</v>
      </c>
      <c r="G1065" s="139">
        <f t="shared" si="33"/>
        <v>-0.28001906614665795</v>
      </c>
    </row>
    <row r="1066" spans="1:7" ht="16.2" thickBot="1" x14ac:dyDescent="0.35">
      <c r="A1066" s="140">
        <v>45845</v>
      </c>
      <c r="B1066" s="135">
        <v>6888.5</v>
      </c>
      <c r="C1066" s="139">
        <f t="shared" si="32"/>
        <v>-0.26062404980815174</v>
      </c>
      <c r="E1066" s="136">
        <v>45845</v>
      </c>
      <c r="F1066" s="137">
        <v>83398.080000000002</v>
      </c>
      <c r="G1066" s="139">
        <f t="shared" si="33"/>
        <v>0.10955887039727494</v>
      </c>
    </row>
    <row r="1067" spans="1:7" ht="16.2" thickBot="1" x14ac:dyDescent="0.35">
      <c r="A1067" s="140">
        <v>45846</v>
      </c>
      <c r="B1067" s="135">
        <v>6938</v>
      </c>
      <c r="C1067" s="139">
        <f t="shared" si="32"/>
        <v>0.71858895260216293</v>
      </c>
      <c r="E1067" s="136">
        <v>45846</v>
      </c>
      <c r="F1067" s="137">
        <v>83387.03</v>
      </c>
      <c r="G1067" s="139">
        <f t="shared" si="33"/>
        <v>-1.3249705508811365E-2</v>
      </c>
    </row>
    <row r="1068" spans="1:7" ht="16.2" thickBot="1" x14ac:dyDescent="0.35">
      <c r="A1068" s="140">
        <v>45847</v>
      </c>
      <c r="B1068" s="135">
        <v>6983.5</v>
      </c>
      <c r="C1068" s="139">
        <f t="shared" si="32"/>
        <v>0.65580859037186512</v>
      </c>
      <c r="E1068" s="136">
        <v>45847</v>
      </c>
      <c r="F1068" s="137">
        <v>83625.89</v>
      </c>
      <c r="G1068" s="139">
        <f t="shared" si="33"/>
        <v>0.28644742473739693</v>
      </c>
    </row>
    <row r="1069" spans="1:7" ht="16.2" thickBot="1" x14ac:dyDescent="0.35">
      <c r="A1069" s="140">
        <v>45848</v>
      </c>
      <c r="B1069" s="135">
        <v>6844.5</v>
      </c>
      <c r="C1069" s="139">
        <f t="shared" si="32"/>
        <v>-1.9904059568984036</v>
      </c>
      <c r="E1069" s="136">
        <v>45848</v>
      </c>
      <c r="F1069" s="137">
        <v>83658.2</v>
      </c>
      <c r="G1069" s="139">
        <f t="shared" si="33"/>
        <v>3.8636360103309716E-2</v>
      </c>
    </row>
    <row r="1070" spans="1:7" ht="16.2" thickBot="1" x14ac:dyDescent="0.35">
      <c r="A1070" s="140">
        <v>45849</v>
      </c>
      <c r="B1070" s="135">
        <v>6835</v>
      </c>
      <c r="C1070" s="139">
        <f t="shared" si="32"/>
        <v>-0.13879757469501061</v>
      </c>
      <c r="E1070" s="136">
        <v>45849</v>
      </c>
      <c r="F1070" s="137">
        <v>82820.759999999995</v>
      </c>
      <c r="G1070" s="139">
        <f t="shared" si="33"/>
        <v>-1.0010256017939692</v>
      </c>
    </row>
    <row r="1071" spans="1:7" ht="16.2" thickBot="1" x14ac:dyDescent="0.35">
      <c r="A1071" s="134">
        <v>45852</v>
      </c>
      <c r="B1071" s="135">
        <v>6778.5</v>
      </c>
      <c r="C1071" s="139">
        <f t="shared" si="32"/>
        <v>-0.82662765179224573</v>
      </c>
      <c r="E1071" s="136">
        <v>45852</v>
      </c>
      <c r="F1071" s="137">
        <v>82537.87</v>
      </c>
      <c r="G1071" s="139">
        <f t="shared" si="33"/>
        <v>-0.34156894962084322</v>
      </c>
    </row>
    <row r="1072" spans="1:7" ht="16.2" thickBot="1" x14ac:dyDescent="0.35">
      <c r="A1072" s="134">
        <v>45853</v>
      </c>
      <c r="B1072" s="135">
        <v>6790</v>
      </c>
      <c r="C1072" s="139">
        <f t="shared" si="32"/>
        <v>0.1696540532566202</v>
      </c>
      <c r="E1072" s="136">
        <v>45853</v>
      </c>
      <c r="F1072" s="137">
        <v>82233.16</v>
      </c>
      <c r="G1072" s="139">
        <f t="shared" si="33"/>
        <v>-0.36917599157815906</v>
      </c>
    </row>
    <row r="1073" spans="1:7" ht="16.2" thickBot="1" x14ac:dyDescent="0.35">
      <c r="A1073" s="134">
        <v>45854</v>
      </c>
      <c r="B1073" s="135">
        <v>6831</v>
      </c>
      <c r="C1073" s="139">
        <f t="shared" si="32"/>
        <v>0.60382916053019153</v>
      </c>
      <c r="E1073" s="136">
        <v>45854</v>
      </c>
      <c r="F1073" s="137">
        <v>82534.66</v>
      </c>
      <c r="G1073" s="139">
        <f t="shared" si="33"/>
        <v>0.36664041610464682</v>
      </c>
    </row>
    <row r="1074" spans="1:7" ht="16.2" thickBot="1" x14ac:dyDescent="0.35">
      <c r="A1074" s="134">
        <v>45855</v>
      </c>
      <c r="B1074" s="135">
        <v>6790.5</v>
      </c>
      <c r="C1074" s="139">
        <f t="shared" si="32"/>
        <v>-0.59288537549407105</v>
      </c>
      <c r="E1074" s="136">
        <v>45855</v>
      </c>
      <c r="F1074" s="137">
        <v>82753.53</v>
      </c>
      <c r="G1074" s="139">
        <f t="shared" si="33"/>
        <v>0.26518555961822021</v>
      </c>
    </row>
    <row r="1075" spans="1:7" ht="16.2" thickBot="1" x14ac:dyDescent="0.35">
      <c r="A1075" s="134">
        <v>45856</v>
      </c>
      <c r="B1075" s="135">
        <v>6731.5</v>
      </c>
      <c r="C1075" s="139">
        <f t="shared" si="32"/>
        <v>-0.86886090862234</v>
      </c>
      <c r="E1075" s="136">
        <v>45856</v>
      </c>
      <c r="F1075" s="137">
        <v>82193.62</v>
      </c>
      <c r="G1075" s="139">
        <f t="shared" si="33"/>
        <v>-0.67659953599562883</v>
      </c>
    </row>
    <row r="1076" spans="1:7" ht="16.2" thickBot="1" x14ac:dyDescent="0.35">
      <c r="A1076" s="134">
        <v>45859</v>
      </c>
      <c r="B1076" s="135">
        <v>6688</v>
      </c>
      <c r="C1076" s="139">
        <f t="shared" si="32"/>
        <v>-0.6462155537398796</v>
      </c>
      <c r="E1076" s="136">
        <v>45859</v>
      </c>
      <c r="F1076" s="137">
        <v>81918.53</v>
      </c>
      <c r="G1076" s="139">
        <f t="shared" si="33"/>
        <v>-0.33468534419094392</v>
      </c>
    </row>
    <row r="1077" spans="1:7" ht="16.2" thickBot="1" x14ac:dyDescent="0.35">
      <c r="A1077" s="134">
        <v>45860</v>
      </c>
      <c r="B1077" s="135">
        <v>6613</v>
      </c>
      <c r="C1077" s="139">
        <f t="shared" si="32"/>
        <v>-1.1214114832535884</v>
      </c>
      <c r="E1077" s="136">
        <v>45860</v>
      </c>
      <c r="F1077" s="137">
        <v>82527.429999999993</v>
      </c>
      <c r="G1077" s="139">
        <f t="shared" si="33"/>
        <v>0.7432994708278996</v>
      </c>
    </row>
    <row r="1078" spans="1:7" ht="16.2" thickBot="1" x14ac:dyDescent="0.35">
      <c r="A1078" s="134">
        <v>45861</v>
      </c>
      <c r="B1078" s="135">
        <v>6653</v>
      </c>
      <c r="C1078" s="139">
        <f t="shared" si="32"/>
        <v>0.60486919703614095</v>
      </c>
      <c r="E1078" s="136">
        <v>45861</v>
      </c>
      <c r="F1078" s="137">
        <v>82451.87</v>
      </c>
      <c r="G1078" s="139">
        <f t="shared" si="33"/>
        <v>-9.1557437327198579E-2</v>
      </c>
    </row>
    <row r="1079" spans="1:7" ht="16.2" thickBot="1" x14ac:dyDescent="0.35">
      <c r="A1079" s="134">
        <v>45862</v>
      </c>
      <c r="B1079" s="135">
        <v>6618.5</v>
      </c>
      <c r="C1079" s="139">
        <f t="shared" si="32"/>
        <v>-0.5185630542612355</v>
      </c>
      <c r="E1079" s="136">
        <v>45862</v>
      </c>
      <c r="F1079" s="137">
        <v>82779.95</v>
      </c>
      <c r="G1079" s="139">
        <f t="shared" si="33"/>
        <v>0.39790486255800112</v>
      </c>
    </row>
    <row r="1080" spans="1:7" ht="16.2" thickBot="1" x14ac:dyDescent="0.35">
      <c r="A1080" s="134">
        <v>45863</v>
      </c>
      <c r="B1080" s="135">
        <v>6616.5</v>
      </c>
      <c r="C1080" s="139">
        <f t="shared" si="32"/>
        <v>-3.0218327415577548E-2</v>
      </c>
      <c r="E1080" s="136">
        <v>45863</v>
      </c>
      <c r="F1080" s="137">
        <v>82065.759999999995</v>
      </c>
      <c r="G1080" s="139">
        <f t="shared" si="33"/>
        <v>-0.86275722563253832</v>
      </c>
    </row>
    <row r="1081" spans="1:7" ht="16.2" thickBot="1" x14ac:dyDescent="0.35">
      <c r="A1081" s="134">
        <v>45866</v>
      </c>
      <c r="B1081" s="135">
        <v>6584</v>
      </c>
      <c r="C1081" s="139">
        <f t="shared" si="32"/>
        <v>-0.49119625179475551</v>
      </c>
      <c r="E1081" s="136">
        <v>45866</v>
      </c>
      <c r="F1081" s="137">
        <v>81299.97</v>
      </c>
      <c r="G1081" s="139">
        <f t="shared" si="33"/>
        <v>-0.93314190961004162</v>
      </c>
    </row>
    <row r="1082" spans="1:7" ht="16.2" thickBot="1" x14ac:dyDescent="0.35">
      <c r="A1082" s="134">
        <v>45867</v>
      </c>
      <c r="B1082" s="135">
        <v>6676.5</v>
      </c>
      <c r="C1082" s="139">
        <f t="shared" si="32"/>
        <v>1.4049210206561362</v>
      </c>
      <c r="E1082" s="136">
        <v>45867</v>
      </c>
      <c r="F1082" s="137">
        <v>80620.25</v>
      </c>
      <c r="G1082" s="139">
        <f t="shared" si="33"/>
        <v>-0.83606426915040832</v>
      </c>
    </row>
    <row r="1083" spans="1:7" ht="16.2" thickBot="1" x14ac:dyDescent="0.35">
      <c r="A1083" s="134">
        <v>45868</v>
      </c>
      <c r="B1083" s="135">
        <v>6650</v>
      </c>
      <c r="C1083" s="139">
        <f t="shared" si="32"/>
        <v>-0.39691455103722012</v>
      </c>
      <c r="E1083" s="136">
        <v>45868</v>
      </c>
      <c r="F1083" s="137">
        <v>81594.52</v>
      </c>
      <c r="G1083" s="139">
        <f t="shared" si="33"/>
        <v>1.2084680957947962</v>
      </c>
    </row>
    <row r="1084" spans="1:7" ht="16.2" thickBot="1" x14ac:dyDescent="0.35">
      <c r="A1084" s="134">
        <v>45869</v>
      </c>
      <c r="B1084" s="135">
        <v>6595.5</v>
      </c>
      <c r="C1084" s="139">
        <f t="shared" si="32"/>
        <v>-0.81954887218045114</v>
      </c>
      <c r="E1084" s="136">
        <v>45869</v>
      </c>
      <c r="F1084" s="137">
        <v>80695.5</v>
      </c>
      <c r="G1084" s="139">
        <f t="shared" si="33"/>
        <v>-1.1018141904627958</v>
      </c>
    </row>
    <row r="1085" spans="1:7" ht="16.2" thickBot="1" x14ac:dyDescent="0.35">
      <c r="A1085" s="140">
        <v>45870</v>
      </c>
      <c r="B1085" s="135">
        <v>6361.5</v>
      </c>
      <c r="C1085" s="139">
        <f t="shared" si="32"/>
        <v>-3.5478735501478278</v>
      </c>
      <c r="E1085" s="136">
        <v>45870</v>
      </c>
      <c r="F1085" s="137">
        <v>81074.41</v>
      </c>
      <c r="G1085" s="139">
        <f t="shared" si="33"/>
        <v>0.46955530357951003</v>
      </c>
    </row>
    <row r="1086" spans="1:7" ht="16.2" thickBot="1" x14ac:dyDescent="0.35">
      <c r="A1086" s="140">
        <v>45873</v>
      </c>
      <c r="B1086" s="135">
        <v>6489.5</v>
      </c>
      <c r="C1086" s="139">
        <f t="shared" si="32"/>
        <v>2.0121040635070346</v>
      </c>
      <c r="E1086" s="136">
        <v>45873</v>
      </c>
      <c r="F1086" s="137">
        <v>80765.83</v>
      </c>
      <c r="G1086" s="139">
        <f t="shared" si="33"/>
        <v>-0.38061331559489819</v>
      </c>
    </row>
    <row r="1087" spans="1:7" ht="16.2" thickBot="1" x14ac:dyDescent="0.35">
      <c r="A1087" s="140">
        <v>45874</v>
      </c>
      <c r="B1087" s="135">
        <v>6409</v>
      </c>
      <c r="C1087" s="139">
        <f t="shared" si="32"/>
        <v>-1.2404653671315202</v>
      </c>
      <c r="E1087" s="136">
        <v>45874</v>
      </c>
      <c r="F1087" s="137">
        <v>80946.429999999993</v>
      </c>
      <c r="G1087" s="139">
        <f t="shared" si="33"/>
        <v>0.2236094150211683</v>
      </c>
    </row>
    <row r="1088" spans="1:7" ht="16.2" thickBot="1" x14ac:dyDescent="0.35">
      <c r="A1088" s="140">
        <v>45875</v>
      </c>
      <c r="B1088" s="135">
        <v>6133.5</v>
      </c>
      <c r="C1088" s="139">
        <f t="shared" si="32"/>
        <v>-4.2986425339366514</v>
      </c>
      <c r="E1088" s="136">
        <v>45875</v>
      </c>
      <c r="F1088" s="137">
        <v>80694.98</v>
      </c>
      <c r="G1088" s="139">
        <f t="shared" si="33"/>
        <v>-0.31063754139620131</v>
      </c>
    </row>
    <row r="1089" spans="1:7" ht="16.2" thickBot="1" x14ac:dyDescent="0.35">
      <c r="A1089" s="140">
        <v>45876</v>
      </c>
      <c r="B1089" s="135">
        <v>6131.5</v>
      </c>
      <c r="C1089" s="139">
        <f t="shared" si="32"/>
        <v>-3.260780957039211E-2</v>
      </c>
      <c r="E1089" s="136">
        <v>45876</v>
      </c>
      <c r="F1089" s="137">
        <v>80262.98</v>
      </c>
      <c r="G1089" s="139">
        <f t="shared" si="33"/>
        <v>-0.53534928690731443</v>
      </c>
    </row>
    <row r="1090" spans="1:7" ht="16.2" thickBot="1" x14ac:dyDescent="0.35">
      <c r="A1090" s="140">
        <v>45877</v>
      </c>
      <c r="B1090" s="135">
        <v>5914.5</v>
      </c>
      <c r="C1090" s="139">
        <f t="shared" si="32"/>
        <v>-3.5391013618201095</v>
      </c>
      <c r="E1090" s="136">
        <v>45877</v>
      </c>
      <c r="F1090" s="137">
        <v>80478.009999999995</v>
      </c>
      <c r="G1090" s="139">
        <f t="shared" si="33"/>
        <v>0.26790682329512167</v>
      </c>
    </row>
    <row r="1091" spans="1:7" ht="16.2" thickBot="1" x14ac:dyDescent="0.35">
      <c r="A1091" s="140">
        <v>45880</v>
      </c>
      <c r="B1091" s="135">
        <v>5992</v>
      </c>
      <c r="C1091" s="139">
        <f t="shared" si="32"/>
        <v>1.310338997379322</v>
      </c>
      <c r="E1091" s="136">
        <v>45880</v>
      </c>
      <c r="F1091" s="137">
        <v>79885.36</v>
      </c>
      <c r="G1091" s="139">
        <f t="shared" si="33"/>
        <v>-0.73641234419190316</v>
      </c>
    </row>
    <row r="1092" spans="1:7" ht="16.2" thickBot="1" x14ac:dyDescent="0.35">
      <c r="A1092" s="140">
        <v>45881</v>
      </c>
      <c r="B1092" s="135">
        <v>5961</v>
      </c>
      <c r="C1092" s="139">
        <f t="shared" si="32"/>
        <v>-0.51735647530040052</v>
      </c>
      <c r="E1092" s="136">
        <v>45881</v>
      </c>
      <c r="F1092" s="137">
        <v>80508.509999999995</v>
      </c>
      <c r="G1092" s="139">
        <f t="shared" si="33"/>
        <v>0.78005531927251026</v>
      </c>
    </row>
    <row r="1093" spans="1:7" ht="16.2" thickBot="1" x14ac:dyDescent="0.35">
      <c r="A1093" s="134">
        <v>45882</v>
      </c>
      <c r="B1093" s="135">
        <v>6100.5</v>
      </c>
      <c r="C1093" s="139">
        <f t="shared" si="32"/>
        <v>2.3402113739305488</v>
      </c>
      <c r="E1093" s="136">
        <v>45882</v>
      </c>
      <c r="F1093" s="137">
        <v>80492.17</v>
      </c>
      <c r="G1093" s="139">
        <f t="shared" si="33"/>
        <v>-2.0295991069759593E-2</v>
      </c>
    </row>
    <row r="1094" spans="1:7" ht="16.2" thickBot="1" x14ac:dyDescent="0.35">
      <c r="A1094" s="134">
        <v>45883</v>
      </c>
      <c r="B1094" s="135">
        <v>6132.5</v>
      </c>
      <c r="C1094" s="139">
        <f t="shared" si="32"/>
        <v>0.52454716826489634</v>
      </c>
      <c r="E1094" s="136">
        <v>45883</v>
      </c>
      <c r="F1094" s="137">
        <v>80625.279999999999</v>
      </c>
      <c r="G1094" s="139">
        <f t="shared" si="33"/>
        <v>0.16537012233612361</v>
      </c>
    </row>
    <row r="1095" spans="1:7" ht="16.2" thickBot="1" x14ac:dyDescent="0.35">
      <c r="A1095" s="134">
        <v>45887</v>
      </c>
      <c r="B1095" s="135">
        <v>6164.5</v>
      </c>
      <c r="C1095" s="139">
        <f t="shared" si="32"/>
        <v>0.52181002853648595</v>
      </c>
      <c r="E1095" s="136">
        <v>45887</v>
      </c>
      <c r="F1095" s="137">
        <v>81315.789999999994</v>
      </c>
      <c r="G1095" s="139">
        <f t="shared" si="33"/>
        <v>0.85644353731236</v>
      </c>
    </row>
    <row r="1096" spans="1:7" ht="16.2" thickBot="1" x14ac:dyDescent="0.35">
      <c r="A1096" s="134">
        <v>45888</v>
      </c>
      <c r="B1096" s="135">
        <v>6079.5</v>
      </c>
      <c r="C1096" s="139">
        <f t="shared" ref="C1096:C1159" si="34">(B1096-B1095)/B1095*100</f>
        <v>-1.3788628437018411</v>
      </c>
      <c r="E1096" s="136">
        <v>45888</v>
      </c>
      <c r="F1096" s="137">
        <v>81319.11</v>
      </c>
      <c r="G1096" s="139">
        <f t="shared" ref="G1096:G1159" si="35">(F1096-F1095)/F1095*100</f>
        <v>4.0828478700225199E-3</v>
      </c>
    </row>
    <row r="1097" spans="1:7" ht="16.2" thickBot="1" x14ac:dyDescent="0.35">
      <c r="A1097" s="134">
        <v>45889</v>
      </c>
      <c r="B1097" s="135">
        <v>6005</v>
      </c>
      <c r="C1097" s="139">
        <f t="shared" si="34"/>
        <v>-1.2254297228390494</v>
      </c>
      <c r="E1097" s="136">
        <v>45889</v>
      </c>
      <c r="F1097" s="137">
        <v>81671.47</v>
      </c>
      <c r="G1097" s="139">
        <f t="shared" si="35"/>
        <v>0.43330528334606783</v>
      </c>
    </row>
    <row r="1098" spans="1:7" ht="16.2" thickBot="1" x14ac:dyDescent="0.35">
      <c r="A1098" s="134">
        <v>45890</v>
      </c>
      <c r="B1098" s="135">
        <v>6028</v>
      </c>
      <c r="C1098" s="139">
        <f t="shared" si="34"/>
        <v>0.38301415487094087</v>
      </c>
      <c r="E1098" s="136">
        <v>45890</v>
      </c>
      <c r="F1098" s="137">
        <v>82220.460000000006</v>
      </c>
      <c r="G1098" s="139">
        <f t="shared" si="35"/>
        <v>0.67219311713136209</v>
      </c>
    </row>
    <row r="1099" spans="1:7" ht="16.2" thickBot="1" x14ac:dyDescent="0.35">
      <c r="A1099" s="134">
        <v>45891</v>
      </c>
      <c r="B1099" s="135">
        <v>6151.5</v>
      </c>
      <c r="C1099" s="139">
        <f t="shared" si="34"/>
        <v>2.0487723954877239</v>
      </c>
      <c r="E1099" s="136">
        <v>45891</v>
      </c>
      <c r="F1099" s="137">
        <v>81951.48</v>
      </c>
      <c r="G1099" s="139">
        <f t="shared" si="35"/>
        <v>-0.3271448493477298</v>
      </c>
    </row>
    <row r="1100" spans="1:7" ht="16.2" thickBot="1" x14ac:dyDescent="0.35">
      <c r="A1100" s="134">
        <v>45894</v>
      </c>
      <c r="B1100" s="135">
        <v>6248.5</v>
      </c>
      <c r="C1100" s="139">
        <f t="shared" si="34"/>
        <v>1.5768511745102822</v>
      </c>
      <c r="E1100" s="136">
        <v>45894</v>
      </c>
      <c r="F1100" s="137">
        <v>81501.06</v>
      </c>
      <c r="G1100" s="139">
        <f t="shared" si="35"/>
        <v>-0.54961789585740028</v>
      </c>
    </row>
    <row r="1101" spans="1:7" ht="16.2" thickBot="1" x14ac:dyDescent="0.35">
      <c r="A1101" s="134">
        <v>45895</v>
      </c>
      <c r="B1101" s="135">
        <v>6190.5</v>
      </c>
      <c r="C1101" s="139">
        <f t="shared" si="34"/>
        <v>-0.92822277346563176</v>
      </c>
      <c r="E1101" s="136">
        <v>45895</v>
      </c>
      <c r="F1101" s="137">
        <v>81377.39</v>
      </c>
      <c r="G1101" s="139">
        <f t="shared" si="35"/>
        <v>-0.15174035773276848</v>
      </c>
    </row>
    <row r="1102" spans="1:7" ht="16.2" thickBot="1" x14ac:dyDescent="0.35">
      <c r="A1102" s="134">
        <v>45897</v>
      </c>
      <c r="B1102" s="135">
        <v>6132</v>
      </c>
      <c r="C1102" s="139">
        <f t="shared" si="34"/>
        <v>-0.94499636539859455</v>
      </c>
      <c r="E1102" s="136">
        <v>45897</v>
      </c>
      <c r="F1102" s="137">
        <v>80754.66</v>
      </c>
      <c r="G1102" s="139">
        <f t="shared" si="35"/>
        <v>-0.76523712544724765</v>
      </c>
    </row>
    <row r="1103" spans="1:7" ht="16.2" thickBot="1" x14ac:dyDescent="0.35">
      <c r="A1103" s="134">
        <v>45898</v>
      </c>
      <c r="B1103" s="135">
        <v>6131.5</v>
      </c>
      <c r="C1103" s="139">
        <f t="shared" si="34"/>
        <v>-8.1539465101108932E-3</v>
      </c>
      <c r="E1103" s="136">
        <v>45898</v>
      </c>
      <c r="F1103" s="137">
        <v>80010.83</v>
      </c>
      <c r="G1103" s="139">
        <f t="shared" si="35"/>
        <v>-0.92109854713028538</v>
      </c>
    </row>
    <row r="1104" spans="1:7" ht="16.2" thickBot="1" x14ac:dyDescent="0.35">
      <c r="A1104" s="140">
        <v>45901</v>
      </c>
      <c r="B1104" s="135">
        <v>6093</v>
      </c>
      <c r="C1104" s="139">
        <f t="shared" si="34"/>
        <v>-0.62790508032292258</v>
      </c>
      <c r="E1104" s="136">
        <v>45901</v>
      </c>
      <c r="F1104" s="137">
        <v>79828.990000000005</v>
      </c>
      <c r="G1104" s="139">
        <f t="shared" si="35"/>
        <v>-0.22726923342752037</v>
      </c>
    </row>
    <row r="1105" spans="1:7" ht="16.2" thickBot="1" x14ac:dyDescent="0.35">
      <c r="A1105" s="140">
        <v>45902</v>
      </c>
      <c r="B1105" s="135">
        <v>6120.5</v>
      </c>
      <c r="C1105" s="139">
        <f t="shared" si="34"/>
        <v>0.45133760052519284</v>
      </c>
      <c r="E1105" s="136">
        <v>45902</v>
      </c>
      <c r="F1105" s="137">
        <v>80520.09</v>
      </c>
      <c r="G1105" s="139">
        <f t="shared" si="35"/>
        <v>0.86572559667858917</v>
      </c>
    </row>
    <row r="1106" spans="1:7" ht="16.2" thickBot="1" x14ac:dyDescent="0.35">
      <c r="A1106" s="140">
        <v>45903</v>
      </c>
      <c r="B1106" s="135">
        <v>6164</v>
      </c>
      <c r="C1106" s="139">
        <f t="shared" si="34"/>
        <v>0.71072624785556737</v>
      </c>
      <c r="E1106" s="136">
        <v>45903</v>
      </c>
      <c r="F1106" s="137">
        <v>80295.990000000005</v>
      </c>
      <c r="G1106" s="139">
        <f t="shared" si="35"/>
        <v>-0.27831563526567255</v>
      </c>
    </row>
    <row r="1107" spans="1:7" ht="16.2" thickBot="1" x14ac:dyDescent="0.35">
      <c r="A1107" s="140">
        <v>45904</v>
      </c>
      <c r="B1107" s="135">
        <v>6133.5</v>
      </c>
      <c r="C1107" s="139">
        <f t="shared" si="34"/>
        <v>-0.4948085658663206</v>
      </c>
      <c r="E1107" s="136">
        <v>45904</v>
      </c>
      <c r="F1107" s="137">
        <v>81456.67</v>
      </c>
      <c r="G1107" s="139">
        <f t="shared" si="35"/>
        <v>1.4455018239391442</v>
      </c>
    </row>
    <row r="1108" spans="1:7" ht="16.2" thickBot="1" x14ac:dyDescent="0.35">
      <c r="A1108" s="140">
        <v>45905</v>
      </c>
      <c r="B1108" s="135">
        <v>6009</v>
      </c>
      <c r="C1108" s="139">
        <f t="shared" si="34"/>
        <v>-2.0298361457569087</v>
      </c>
      <c r="E1108" s="136">
        <v>45905</v>
      </c>
      <c r="F1108" s="137">
        <v>81012.42</v>
      </c>
      <c r="G1108" s="139">
        <f t="shared" si="35"/>
        <v>-0.54538198038294472</v>
      </c>
    </row>
    <row r="1109" spans="1:7" ht="16.2" thickBot="1" x14ac:dyDescent="0.35">
      <c r="A1109" s="140">
        <v>45908</v>
      </c>
      <c r="B1109" s="135">
        <v>6027.5</v>
      </c>
      <c r="C1109" s="139">
        <f t="shared" si="34"/>
        <v>0.30787152604426693</v>
      </c>
      <c r="E1109" s="136">
        <v>45908</v>
      </c>
      <c r="F1109" s="137">
        <v>80904.399999999994</v>
      </c>
      <c r="G1109" s="139">
        <f t="shared" si="35"/>
        <v>-0.13333757959582504</v>
      </c>
    </row>
    <row r="1110" spans="1:7" ht="16.2" thickBot="1" x14ac:dyDescent="0.35">
      <c r="A1110" s="140">
        <v>45909</v>
      </c>
      <c r="B1110" s="135">
        <v>6002.5</v>
      </c>
      <c r="C1110" s="139">
        <f t="shared" si="34"/>
        <v>-0.41476565740356702</v>
      </c>
      <c r="E1110" s="136">
        <v>45909</v>
      </c>
      <c r="F1110" s="137">
        <v>81129.69</v>
      </c>
      <c r="G1110" s="139">
        <f t="shared" si="35"/>
        <v>0.27846445928776203</v>
      </c>
    </row>
    <row r="1111" spans="1:7" ht="16.2" thickBot="1" x14ac:dyDescent="0.35">
      <c r="A1111" s="140">
        <v>45910</v>
      </c>
      <c r="B1111" s="135">
        <v>6031.5</v>
      </c>
      <c r="C1111" s="139">
        <f t="shared" si="34"/>
        <v>0.48313202832153274</v>
      </c>
      <c r="E1111" s="136">
        <v>45910</v>
      </c>
      <c r="F1111" s="137">
        <v>81504.36</v>
      </c>
      <c r="G1111" s="139">
        <f t="shared" si="35"/>
        <v>0.46181613660794002</v>
      </c>
    </row>
    <row r="1112" spans="1:7" ht="16.2" thickBot="1" x14ac:dyDescent="0.35">
      <c r="A1112" s="140">
        <v>45911</v>
      </c>
      <c r="B1112" s="135">
        <v>6015.5</v>
      </c>
      <c r="C1112" s="139">
        <f t="shared" si="34"/>
        <v>-0.26527397828069305</v>
      </c>
      <c r="E1112" s="136">
        <v>45911</v>
      </c>
      <c r="F1112" s="137">
        <v>81217.3</v>
      </c>
      <c r="G1112" s="139">
        <f t="shared" si="35"/>
        <v>-0.35220201716815847</v>
      </c>
    </row>
    <row r="1113" spans="1:7" ht="16.2" thickBot="1" x14ac:dyDescent="0.35">
      <c r="A1113" s="140">
        <v>45912</v>
      </c>
      <c r="B1113" s="135">
        <v>6026.5</v>
      </c>
      <c r="C1113" s="139">
        <f t="shared" si="34"/>
        <v>0.18286094256504032</v>
      </c>
      <c r="E1113" s="136">
        <v>45912</v>
      </c>
      <c r="F1113" s="137">
        <v>81758.95</v>
      </c>
      <c r="G1113" s="139">
        <f t="shared" si="35"/>
        <v>0.6669145613065125</v>
      </c>
    </row>
    <row r="1114" spans="1:7" ht="16.2" thickBot="1" x14ac:dyDescent="0.35">
      <c r="A1114" s="134">
        <v>45915</v>
      </c>
      <c r="B1114" s="135">
        <v>6057</v>
      </c>
      <c r="C1114" s="139">
        <f t="shared" si="34"/>
        <v>0.50609806687131831</v>
      </c>
      <c r="E1114" s="136">
        <v>45915</v>
      </c>
      <c r="F1114" s="137">
        <v>81925.509999999995</v>
      </c>
      <c r="G1114" s="139">
        <f t="shared" si="35"/>
        <v>0.20372081588620902</v>
      </c>
    </row>
    <row r="1115" spans="1:7" ht="16.2" thickBot="1" x14ac:dyDescent="0.35">
      <c r="A1115" s="134">
        <v>45916</v>
      </c>
      <c r="B1115" s="135">
        <v>6099.5</v>
      </c>
      <c r="C1115" s="139">
        <f t="shared" si="34"/>
        <v>0.70166749215783397</v>
      </c>
      <c r="E1115" s="136">
        <v>45916</v>
      </c>
      <c r="F1115" s="137">
        <v>81852.11</v>
      </c>
      <c r="G1115" s="139">
        <f t="shared" si="35"/>
        <v>-8.959358324408867E-2</v>
      </c>
    </row>
    <row r="1116" spans="1:7" ht="16.2" thickBot="1" x14ac:dyDescent="0.35">
      <c r="A1116" s="134">
        <v>45917</v>
      </c>
      <c r="B1116" s="135">
        <v>6051.5</v>
      </c>
      <c r="C1116" s="139">
        <f t="shared" si="34"/>
        <v>-0.7869497499795064</v>
      </c>
      <c r="E1116" s="136">
        <v>45917</v>
      </c>
      <c r="F1116" s="137">
        <v>82506.399999999994</v>
      </c>
      <c r="G1116" s="139">
        <f t="shared" si="35"/>
        <v>0.7993563024826037</v>
      </c>
    </row>
    <row r="1117" spans="1:7" ht="16.2" thickBot="1" x14ac:dyDescent="0.35">
      <c r="A1117" s="134">
        <v>45918</v>
      </c>
      <c r="B1117" s="135">
        <v>6112</v>
      </c>
      <c r="C1117" s="139">
        <f t="shared" si="34"/>
        <v>0.99975212757167642</v>
      </c>
      <c r="E1117" s="136">
        <v>45918</v>
      </c>
      <c r="F1117" s="137">
        <v>83108.92</v>
      </c>
      <c r="G1117" s="139">
        <f t="shared" si="35"/>
        <v>0.73027062143058485</v>
      </c>
    </row>
    <row r="1118" spans="1:7" ht="16.2" thickBot="1" x14ac:dyDescent="0.35">
      <c r="A1118" s="134">
        <v>45919</v>
      </c>
      <c r="B1118" s="135">
        <v>6200</v>
      </c>
      <c r="C1118" s="139">
        <f t="shared" si="34"/>
        <v>1.4397905759162304</v>
      </c>
      <c r="E1118" s="136">
        <v>45919</v>
      </c>
      <c r="F1118" s="137">
        <v>82946.039999999994</v>
      </c>
      <c r="G1118" s="139">
        <f t="shared" si="35"/>
        <v>-0.1959837764706901</v>
      </c>
    </row>
    <row r="1119" spans="1:7" ht="16.2" thickBot="1" x14ac:dyDescent="0.35">
      <c r="A1119" s="134">
        <v>45922</v>
      </c>
      <c r="B1119" s="135">
        <v>6092.5</v>
      </c>
      <c r="C1119" s="139">
        <f t="shared" si="34"/>
        <v>-1.7338709677419355</v>
      </c>
      <c r="E1119" s="136">
        <v>45922</v>
      </c>
      <c r="F1119" s="137">
        <v>82151.070000000007</v>
      </c>
      <c r="G1119" s="139">
        <f t="shared" si="35"/>
        <v>-0.95841826806920094</v>
      </c>
    </row>
    <row r="1120" spans="1:7" ht="16.2" thickBot="1" x14ac:dyDescent="0.35">
      <c r="A1120" s="134">
        <v>45923</v>
      </c>
      <c r="B1120" s="135">
        <v>6051</v>
      </c>
      <c r="C1120" s="139">
        <f t="shared" si="34"/>
        <v>-0.68116536725482146</v>
      </c>
      <c r="E1120" s="136">
        <v>45923</v>
      </c>
      <c r="F1120" s="137">
        <v>82147.37</v>
      </c>
      <c r="G1120" s="139">
        <f t="shared" si="35"/>
        <v>-4.5038975146783128E-3</v>
      </c>
    </row>
    <row r="1121" spans="1:7" ht="16.2" thickBot="1" x14ac:dyDescent="0.35">
      <c r="A1121" s="134">
        <v>45924</v>
      </c>
      <c r="B1121" s="135">
        <v>5984</v>
      </c>
      <c r="C1121" s="139">
        <f t="shared" si="34"/>
        <v>-1.1072549991736904</v>
      </c>
      <c r="E1121" s="136">
        <v>45924</v>
      </c>
      <c r="F1121" s="137">
        <v>81917.649999999994</v>
      </c>
      <c r="G1121" s="139">
        <f t="shared" si="35"/>
        <v>-0.27964376704939081</v>
      </c>
    </row>
    <row r="1122" spans="1:7" ht="16.2" thickBot="1" x14ac:dyDescent="0.35">
      <c r="A1122" s="134">
        <v>45925</v>
      </c>
      <c r="B1122" s="135">
        <v>5897</v>
      </c>
      <c r="C1122" s="139">
        <f t="shared" si="34"/>
        <v>-1.4538770053475936</v>
      </c>
      <c r="E1122" s="136">
        <v>45925</v>
      </c>
      <c r="F1122" s="137">
        <v>81574.31</v>
      </c>
      <c r="G1122" s="139">
        <f t="shared" si="35"/>
        <v>-0.41912823426941148</v>
      </c>
    </row>
    <row r="1123" spans="1:7" ht="16.2" thickBot="1" x14ac:dyDescent="0.35">
      <c r="A1123" s="134">
        <v>45926</v>
      </c>
      <c r="B1123" s="135">
        <v>5689.5</v>
      </c>
      <c r="C1123" s="139">
        <f t="shared" si="34"/>
        <v>-3.5187383415295912</v>
      </c>
      <c r="E1123" s="136">
        <v>45926</v>
      </c>
      <c r="F1123" s="137">
        <v>80956.009999999995</v>
      </c>
      <c r="G1123" s="139">
        <f t="shared" si="35"/>
        <v>-0.75795921534610955</v>
      </c>
    </row>
    <row r="1124" spans="1:7" ht="16.2" thickBot="1" x14ac:dyDescent="0.35">
      <c r="A1124" s="134">
        <v>45929</v>
      </c>
      <c r="B1124" s="135">
        <v>5697.5</v>
      </c>
      <c r="C1124" s="139">
        <f t="shared" si="34"/>
        <v>0.14060989542139027</v>
      </c>
      <c r="E1124" s="136">
        <v>45929</v>
      </c>
      <c r="F1124" s="137">
        <v>80588.77</v>
      </c>
      <c r="G1124" s="139">
        <f t="shared" si="35"/>
        <v>-0.45362907584006512</v>
      </c>
    </row>
    <row r="1125" spans="1:7" ht="16.2" thickBot="1" x14ac:dyDescent="0.35">
      <c r="A1125" s="134">
        <v>45930</v>
      </c>
      <c r="B1125" s="135">
        <v>5689.5</v>
      </c>
      <c r="C1125" s="139">
        <f t="shared" si="34"/>
        <v>-0.14041246160596754</v>
      </c>
      <c r="E1125" s="136">
        <v>45930</v>
      </c>
      <c r="F1125" s="137">
        <v>80541.77</v>
      </c>
      <c r="G1125" s="139">
        <f t="shared" si="35"/>
        <v>-5.8320780922701765E-2</v>
      </c>
    </row>
    <row r="1126" spans="1:7" ht="16.2" thickBot="1" x14ac:dyDescent="0.35">
      <c r="A1126" s="140">
        <v>45931</v>
      </c>
      <c r="B1126" s="135">
        <v>5710</v>
      </c>
      <c r="C1126" s="139">
        <f t="shared" si="34"/>
        <v>0.36031285701731258</v>
      </c>
      <c r="E1126" s="136">
        <v>45931</v>
      </c>
      <c r="F1126" s="137">
        <v>80173.240000000005</v>
      </c>
      <c r="G1126" s="139">
        <f t="shared" si="35"/>
        <v>-0.45756382061134093</v>
      </c>
    </row>
    <row r="1127" spans="1:7" ht="16.2" thickBot="1" x14ac:dyDescent="0.35">
      <c r="A1127" s="140">
        <v>45933</v>
      </c>
      <c r="B1127" s="135">
        <v>5866</v>
      </c>
      <c r="C1127" s="139">
        <f t="shared" si="34"/>
        <v>2.7320490367775832</v>
      </c>
      <c r="E1127" s="136">
        <v>45933</v>
      </c>
      <c r="F1127" s="137">
        <v>80684.14</v>
      </c>
      <c r="G1127" s="139">
        <f t="shared" si="35"/>
        <v>0.63724504585319752</v>
      </c>
    </row>
    <row r="1128" spans="1:7" ht="16.2" thickBot="1" x14ac:dyDescent="0.35">
      <c r="A1128" s="140">
        <v>45936</v>
      </c>
      <c r="B1128" s="135">
        <v>5826.5</v>
      </c>
      <c r="C1128" s="139">
        <f t="shared" si="34"/>
        <v>-0.67337197408796456</v>
      </c>
      <c r="E1128" s="136">
        <v>45936</v>
      </c>
      <c r="F1128" s="137">
        <v>81274.789999999994</v>
      </c>
      <c r="G1128" s="139">
        <f t="shared" si="35"/>
        <v>0.73205217283098534</v>
      </c>
    </row>
    <row r="1129" spans="1:7" ht="16.2" thickBot="1" x14ac:dyDescent="0.35">
      <c r="A1129" s="140">
        <v>45937</v>
      </c>
      <c r="B1129" s="135">
        <v>6104.5</v>
      </c>
      <c r="C1129" s="139">
        <f t="shared" si="34"/>
        <v>4.7713035269887589</v>
      </c>
      <c r="E1129" s="136">
        <v>45937</v>
      </c>
      <c r="F1129" s="137">
        <v>81883.95</v>
      </c>
      <c r="G1129" s="139">
        <f t="shared" si="35"/>
        <v>0.74950670435445421</v>
      </c>
    </row>
    <row r="1130" spans="1:7" ht="16.2" thickBot="1" x14ac:dyDescent="0.35">
      <c r="A1130" s="140">
        <v>45938</v>
      </c>
      <c r="B1130" s="135">
        <v>6120.5</v>
      </c>
      <c r="C1130" s="139">
        <f t="shared" si="34"/>
        <v>0.26210172823327049</v>
      </c>
      <c r="E1130" s="136">
        <v>45938</v>
      </c>
      <c r="F1130" s="137">
        <v>81899.509999999995</v>
      </c>
      <c r="G1130" s="139">
        <f t="shared" si="35"/>
        <v>1.9002502932501025E-2</v>
      </c>
    </row>
    <row r="1131" spans="1:7" ht="16.2" thickBot="1" x14ac:dyDescent="0.35">
      <c r="A1131" s="140">
        <v>45939</v>
      </c>
      <c r="B1131" s="135">
        <v>6132</v>
      </c>
      <c r="C1131" s="139">
        <f t="shared" si="34"/>
        <v>0.18789314598480517</v>
      </c>
      <c r="E1131" s="136">
        <v>45939</v>
      </c>
      <c r="F1131" s="137">
        <v>81900</v>
      </c>
      <c r="G1131" s="139">
        <f t="shared" si="35"/>
        <v>5.9829417783481087E-4</v>
      </c>
    </row>
    <row r="1132" spans="1:7" ht="16.2" thickBot="1" x14ac:dyDescent="0.35">
      <c r="A1132" s="140">
        <v>45940</v>
      </c>
      <c r="B1132" s="135">
        <v>6474.5</v>
      </c>
      <c r="C1132" s="139">
        <f t="shared" si="34"/>
        <v>5.5854533594259621</v>
      </c>
      <c r="E1132" s="136">
        <v>45940</v>
      </c>
      <c r="F1132" s="137">
        <v>82075.45</v>
      </c>
      <c r="G1132" s="139">
        <f t="shared" si="35"/>
        <v>0.21422466422466066</v>
      </c>
    </row>
    <row r="1133" spans="1:7" ht="16.2" thickBot="1" x14ac:dyDescent="0.35">
      <c r="A1133" s="134">
        <v>45943</v>
      </c>
      <c r="B1133" s="135">
        <v>6556</v>
      </c>
      <c r="C1133" s="139">
        <f t="shared" si="34"/>
        <v>1.2587844621206272</v>
      </c>
      <c r="E1133" s="136">
        <v>45943</v>
      </c>
      <c r="F1133" s="137">
        <v>82049.16</v>
      </c>
      <c r="G1133" s="139">
        <f t="shared" si="35"/>
        <v>-3.2031502720964181E-2</v>
      </c>
    </row>
    <row r="1134" spans="1:7" ht="16.2" thickBot="1" x14ac:dyDescent="0.35">
      <c r="A1134" s="134">
        <v>45944</v>
      </c>
      <c r="B1134" s="135">
        <v>6561</v>
      </c>
      <c r="C1134" s="139">
        <f t="shared" si="34"/>
        <v>7.6266015863331302E-2</v>
      </c>
      <c r="E1134" s="136">
        <v>45944</v>
      </c>
      <c r="F1134" s="137">
        <v>82404.539999999994</v>
      </c>
      <c r="G1134" s="139">
        <f t="shared" si="35"/>
        <v>0.43313057683953143</v>
      </c>
    </row>
    <row r="1135" spans="1:7" ht="16.2" thickBot="1" x14ac:dyDescent="0.35">
      <c r="A1135" s="134">
        <v>45945</v>
      </c>
      <c r="B1135" s="135">
        <v>6573</v>
      </c>
      <c r="C1135" s="139">
        <f t="shared" si="34"/>
        <v>0.18289894833104708</v>
      </c>
      <c r="E1135" s="136">
        <v>45945</v>
      </c>
      <c r="F1135" s="137">
        <v>82197.25</v>
      </c>
      <c r="G1135" s="139">
        <f t="shared" si="35"/>
        <v>-0.25155167421600022</v>
      </c>
    </row>
    <row r="1136" spans="1:7" ht="16.2" thickBot="1" x14ac:dyDescent="0.35">
      <c r="A1136" s="134">
        <v>45946</v>
      </c>
      <c r="B1136" s="135">
        <v>6600.5</v>
      </c>
      <c r="C1136" s="139">
        <f t="shared" si="34"/>
        <v>0.4183782139053705</v>
      </c>
      <c r="E1136" s="136">
        <v>45946</v>
      </c>
      <c r="F1136" s="137">
        <v>82794.789999999994</v>
      </c>
      <c r="G1136" s="139">
        <f t="shared" si="35"/>
        <v>0.72695862696135649</v>
      </c>
    </row>
    <row r="1137" spans="1:7" ht="16.2" thickBot="1" x14ac:dyDescent="0.35">
      <c r="A1137" s="134">
        <v>45947</v>
      </c>
      <c r="B1137" s="135">
        <v>6621.5</v>
      </c>
      <c r="C1137" s="139">
        <f t="shared" si="34"/>
        <v>0.31815771532459663</v>
      </c>
      <c r="E1137" s="136">
        <v>45947</v>
      </c>
      <c r="F1137" s="137">
        <v>83331.78</v>
      </c>
      <c r="G1137" s="139">
        <f t="shared" si="35"/>
        <v>0.64857945771709213</v>
      </c>
    </row>
    <row r="1138" spans="1:7" ht="16.2" thickBot="1" x14ac:dyDescent="0.35">
      <c r="A1138" s="134">
        <v>45950</v>
      </c>
      <c r="B1138" s="135">
        <v>6604</v>
      </c>
      <c r="C1138" s="139">
        <f t="shared" si="34"/>
        <v>-0.26429056860228045</v>
      </c>
      <c r="E1138" s="136">
        <v>45950</v>
      </c>
      <c r="F1138" s="137">
        <v>84269.3</v>
      </c>
      <c r="G1138" s="139">
        <f t="shared" si="35"/>
        <v>1.1250449708382615</v>
      </c>
    </row>
    <row r="1139" spans="1:7" ht="16.2" thickBot="1" x14ac:dyDescent="0.35">
      <c r="A1139" s="134">
        <v>45951</v>
      </c>
      <c r="B1139" s="135">
        <v>6587</v>
      </c>
      <c r="C1139" s="139">
        <f t="shared" si="34"/>
        <v>-0.25741974560872199</v>
      </c>
      <c r="E1139" s="136">
        <v>45951</v>
      </c>
      <c r="F1139" s="137">
        <v>84484.67</v>
      </c>
      <c r="G1139" s="139">
        <f t="shared" si="35"/>
        <v>0.25557350066987067</v>
      </c>
    </row>
    <row r="1140" spans="1:7" ht="16.2" thickBot="1" x14ac:dyDescent="0.35">
      <c r="A1140" s="134">
        <v>45953</v>
      </c>
      <c r="B1140" s="135">
        <v>6565.5</v>
      </c>
      <c r="C1140" s="139">
        <f t="shared" si="34"/>
        <v>-0.32640048580537423</v>
      </c>
      <c r="E1140" s="136">
        <v>45953</v>
      </c>
      <c r="F1140" s="137">
        <v>85154.15</v>
      </c>
      <c r="G1140" s="139">
        <f t="shared" si="35"/>
        <v>0.79242778601135089</v>
      </c>
    </row>
    <row r="1141" spans="1:7" ht="16.2" thickBot="1" x14ac:dyDescent="0.35">
      <c r="A1141" s="134">
        <v>45954</v>
      </c>
      <c r="B1141" s="135">
        <v>6593</v>
      </c>
      <c r="C1141" s="139">
        <f t="shared" si="34"/>
        <v>0.41885614195415427</v>
      </c>
      <c r="E1141" s="136">
        <v>45954</v>
      </c>
      <c r="F1141" s="137">
        <v>84667.23</v>
      </c>
      <c r="G1141" s="139">
        <f t="shared" si="35"/>
        <v>-0.57181006445369753</v>
      </c>
    </row>
    <row r="1142" spans="1:7" ht="16.2" thickBot="1" x14ac:dyDescent="0.35">
      <c r="A1142" s="134">
        <v>45957</v>
      </c>
      <c r="B1142" s="135">
        <v>6490</v>
      </c>
      <c r="C1142" s="139">
        <f t="shared" si="34"/>
        <v>-1.5622630062187168</v>
      </c>
      <c r="E1142" s="136">
        <v>45957</v>
      </c>
      <c r="F1142" s="137">
        <v>84297.39</v>
      </c>
      <c r="G1142" s="139">
        <f t="shared" si="35"/>
        <v>-0.43681599126367604</v>
      </c>
    </row>
    <row r="1143" spans="1:7" ht="16.2" thickBot="1" x14ac:dyDescent="0.35">
      <c r="A1143" s="134">
        <v>45958</v>
      </c>
      <c r="B1143" s="135">
        <v>6438.5</v>
      </c>
      <c r="C1143" s="139">
        <f t="shared" si="34"/>
        <v>-0.7935285053929122</v>
      </c>
      <c r="E1143" s="136">
        <v>45958</v>
      </c>
      <c r="F1143" s="137">
        <v>84625.71</v>
      </c>
      <c r="G1143" s="139">
        <f t="shared" si="35"/>
        <v>0.38947825075012049</v>
      </c>
    </row>
    <row r="1144" spans="1:7" ht="16.2" thickBot="1" x14ac:dyDescent="0.35">
      <c r="A1144" s="134">
        <v>45959</v>
      </c>
      <c r="B1144" s="135">
        <v>6512</v>
      </c>
      <c r="C1144" s="139">
        <f t="shared" si="34"/>
        <v>1.141570241515881</v>
      </c>
      <c r="E1144" s="136">
        <v>45959</v>
      </c>
      <c r="F1144" s="137">
        <v>84663.679999999993</v>
      </c>
      <c r="G1144" s="139">
        <f t="shared" si="35"/>
        <v>4.4868161224274054E-2</v>
      </c>
    </row>
    <row r="1145" spans="1:7" ht="16.2" thickBot="1" x14ac:dyDescent="0.35">
      <c r="A1145" s="134">
        <v>45960</v>
      </c>
      <c r="B1145" s="135">
        <v>6655</v>
      </c>
      <c r="C1145" s="139">
        <f t="shared" si="34"/>
        <v>2.1959459459459461</v>
      </c>
      <c r="E1145" s="136">
        <v>45960</v>
      </c>
      <c r="F1145" s="137">
        <v>84750.9</v>
      </c>
      <c r="G1145" s="139">
        <f t="shared" si="35"/>
        <v>0.10301938210103927</v>
      </c>
    </row>
    <row r="1146" spans="1:7" ht="16.2" thickBot="1" x14ac:dyDescent="0.35">
      <c r="A1146" s="134">
        <v>45961</v>
      </c>
      <c r="B1146" s="135">
        <v>6738</v>
      </c>
      <c r="C1146" s="139">
        <f t="shared" si="34"/>
        <v>1.2471825694966192</v>
      </c>
      <c r="E1146" s="136">
        <v>45961</v>
      </c>
      <c r="F1146" s="137">
        <v>84379.79</v>
      </c>
      <c r="G1146" s="139">
        <f t="shared" si="35"/>
        <v>-0.43788325551705132</v>
      </c>
    </row>
    <row r="1147" spans="1:7" ht="16.2" thickBot="1" x14ac:dyDescent="0.35">
      <c r="A1147" s="140">
        <v>45964</v>
      </c>
      <c r="B1147" s="135">
        <v>6804</v>
      </c>
      <c r="C1147" s="139">
        <f t="shared" si="34"/>
        <v>0.97951914514692784</v>
      </c>
      <c r="E1147" s="136">
        <v>45964</v>
      </c>
      <c r="F1147" s="137">
        <v>83835.100000000006</v>
      </c>
      <c r="G1147" s="139">
        <f t="shared" si="35"/>
        <v>-0.64552187200274835</v>
      </c>
    </row>
    <row r="1148" spans="1:7" ht="16.2" thickBot="1" x14ac:dyDescent="0.35">
      <c r="A1148" s="140">
        <v>45965</v>
      </c>
      <c r="B1148" s="135">
        <v>6804.5</v>
      </c>
      <c r="C1148" s="139">
        <f t="shared" si="34"/>
        <v>7.3486184597295707E-3</v>
      </c>
      <c r="E1148" s="136">
        <v>45965</v>
      </c>
      <c r="F1148" s="137">
        <v>84000.639999999999</v>
      </c>
      <c r="G1148" s="139">
        <f t="shared" si="35"/>
        <v>0.19745905951086545</v>
      </c>
    </row>
    <row r="1149" spans="1:7" ht="16.2" thickBot="1" x14ac:dyDescent="0.35">
      <c r="A1149" s="140">
        <v>45967</v>
      </c>
      <c r="B1149" s="135">
        <v>6883.5</v>
      </c>
      <c r="C1149" s="139">
        <f t="shared" si="34"/>
        <v>1.160996399441546</v>
      </c>
      <c r="E1149" s="136">
        <v>45967</v>
      </c>
      <c r="F1149" s="137">
        <v>83516.69</v>
      </c>
      <c r="G1149" s="139">
        <f t="shared" si="35"/>
        <v>-0.576126562845232</v>
      </c>
    </row>
    <row r="1150" spans="1:7" ht="16.2" thickBot="1" x14ac:dyDescent="0.35">
      <c r="A1150" s="140">
        <v>45968</v>
      </c>
      <c r="B1150" s="135">
        <v>6656.5</v>
      </c>
      <c r="C1150" s="139">
        <f t="shared" si="34"/>
        <v>-3.2977409747947997</v>
      </c>
      <c r="E1150" s="136">
        <v>45968</v>
      </c>
      <c r="F1150" s="137">
        <v>83150.149999999994</v>
      </c>
      <c r="G1150" s="139">
        <f t="shared" si="35"/>
        <v>-0.43888233597381332</v>
      </c>
    </row>
    <row r="1151" spans="1:7" ht="16.2" thickBot="1" x14ac:dyDescent="0.35">
      <c r="A1151" s="140">
        <v>45971</v>
      </c>
      <c r="B1151" s="135">
        <v>6691.5</v>
      </c>
      <c r="C1151" s="139">
        <f t="shared" si="34"/>
        <v>0.52580184781792239</v>
      </c>
      <c r="E1151" s="136">
        <v>45971</v>
      </c>
      <c r="F1151" s="137">
        <v>83198.2</v>
      </c>
      <c r="G1151" s="139">
        <f t="shared" si="35"/>
        <v>5.7787027443730307E-2</v>
      </c>
    </row>
    <row r="1152" spans="1:7" ht="16.2" thickBot="1" x14ac:dyDescent="0.35">
      <c r="A1152" s="140">
        <v>45972</v>
      </c>
      <c r="B1152" s="135">
        <v>6539.5</v>
      </c>
      <c r="C1152" s="139">
        <f t="shared" si="34"/>
        <v>-2.271538519016663</v>
      </c>
      <c r="E1152" s="136">
        <v>45972</v>
      </c>
      <c r="F1152" s="137">
        <v>83671.520000000004</v>
      </c>
      <c r="G1152" s="139">
        <f t="shared" si="35"/>
        <v>0.56890653884339681</v>
      </c>
    </row>
    <row r="1153" spans="1:7" ht="16.2" thickBot="1" x14ac:dyDescent="0.35">
      <c r="A1153" s="140">
        <v>45973</v>
      </c>
      <c r="B1153" s="135">
        <v>6520</v>
      </c>
      <c r="C1153" s="139">
        <f t="shared" si="34"/>
        <v>-0.29818793485740502</v>
      </c>
      <c r="E1153" s="136">
        <v>45973</v>
      </c>
      <c r="F1153" s="137">
        <v>84238.86</v>
      </c>
      <c r="G1153" s="139">
        <f t="shared" si="35"/>
        <v>0.67805628486251535</v>
      </c>
    </row>
    <row r="1154" spans="1:7" ht="16.2" thickBot="1" x14ac:dyDescent="0.35">
      <c r="A1154" s="134">
        <v>45974</v>
      </c>
      <c r="B1154" s="135">
        <v>6593.5</v>
      </c>
      <c r="C1154" s="139">
        <f t="shared" si="34"/>
        <v>1.1273006134969326</v>
      </c>
      <c r="E1154" s="136">
        <v>45974</v>
      </c>
      <c r="F1154" s="137">
        <v>84525.89</v>
      </c>
      <c r="G1154" s="139">
        <f t="shared" si="35"/>
        <v>0.34073348096116068</v>
      </c>
    </row>
    <row r="1155" spans="1:7" ht="16.2" thickBot="1" x14ac:dyDescent="0.35">
      <c r="A1155" s="134">
        <v>45975</v>
      </c>
      <c r="B1155" s="135">
        <v>6511.5</v>
      </c>
      <c r="C1155" s="139">
        <f t="shared" si="34"/>
        <v>-1.243649048305149</v>
      </c>
      <c r="E1155" s="136">
        <v>45975</v>
      </c>
      <c r="F1155" s="137">
        <v>84060.14</v>
      </c>
      <c r="G1155" s="139">
        <f t="shared" si="35"/>
        <v>-0.55101460629400056</v>
      </c>
    </row>
    <row r="1156" spans="1:7" ht="16.2" thickBot="1" x14ac:dyDescent="0.35">
      <c r="A1156" s="134">
        <v>45978</v>
      </c>
      <c r="B1156" s="135">
        <v>6518.5</v>
      </c>
      <c r="C1156" s="139">
        <f t="shared" si="34"/>
        <v>0.10750211164862167</v>
      </c>
      <c r="E1156" s="136">
        <v>45978</v>
      </c>
      <c r="F1156" s="137">
        <v>84700.5</v>
      </c>
      <c r="G1156" s="139">
        <f t="shared" si="35"/>
        <v>0.76178792945146245</v>
      </c>
    </row>
    <row r="1157" spans="1:7" ht="16.2" thickBot="1" x14ac:dyDescent="0.35">
      <c r="A1157" s="134">
        <v>45979</v>
      </c>
      <c r="B1157" s="135">
        <v>6473.5</v>
      </c>
      <c r="C1157" s="139">
        <f t="shared" si="34"/>
        <v>-0.69034287029224517</v>
      </c>
      <c r="E1157" s="136">
        <v>45979</v>
      </c>
      <c r="F1157" s="137">
        <v>85042.37</v>
      </c>
      <c r="G1157" s="139">
        <f t="shared" si="35"/>
        <v>0.40362217460345018</v>
      </c>
    </row>
    <row r="1158" spans="1:7" ht="16.2" thickBot="1" x14ac:dyDescent="0.35">
      <c r="A1158" s="134">
        <v>45980</v>
      </c>
      <c r="B1158" s="135">
        <v>6454</v>
      </c>
      <c r="C1158" s="139">
        <f t="shared" si="34"/>
        <v>-0.30122808372595966</v>
      </c>
      <c r="E1158" s="136">
        <v>45980</v>
      </c>
      <c r="F1158" s="137">
        <v>84643.78</v>
      </c>
      <c r="G1158" s="139">
        <f t="shared" si="35"/>
        <v>-0.46869578070319129</v>
      </c>
    </row>
    <row r="1159" spans="1:7" ht="16.2" thickBot="1" x14ac:dyDescent="0.35">
      <c r="A1159" s="134">
        <v>45981</v>
      </c>
      <c r="B1159" s="135">
        <v>6462.5</v>
      </c>
      <c r="C1159" s="139">
        <f t="shared" si="34"/>
        <v>0.13170127052990394</v>
      </c>
      <c r="E1159" s="136">
        <v>45981</v>
      </c>
      <c r="F1159" s="137">
        <v>85470.92</v>
      </c>
      <c r="G1159" s="139">
        <f t="shared" si="35"/>
        <v>0.97720115996709911</v>
      </c>
    </row>
    <row r="1160" spans="1:7" ht="16.2" thickBot="1" x14ac:dyDescent="0.35">
      <c r="A1160" s="134">
        <v>45982</v>
      </c>
      <c r="B1160" s="135">
        <v>6373</v>
      </c>
      <c r="C1160" s="139">
        <f t="shared" ref="C1160:C1223" si="36">(B1160-B1159)/B1159*100</f>
        <v>-1.3849129593810445</v>
      </c>
      <c r="E1160" s="136">
        <v>45982</v>
      </c>
      <c r="F1160" s="137">
        <v>85347.4</v>
      </c>
      <c r="G1160" s="139">
        <f t="shared" ref="G1160:G1223" si="37">(F1160-F1159)/F1159*100</f>
        <v>-0.1445169889361248</v>
      </c>
    </row>
    <row r="1161" spans="1:7" ht="16.2" thickBot="1" x14ac:dyDescent="0.35">
      <c r="A1161" s="134">
        <v>45985</v>
      </c>
      <c r="B1161" s="135">
        <v>6359</v>
      </c>
      <c r="C1161" s="139">
        <f t="shared" si="36"/>
        <v>-0.21967676133689001</v>
      </c>
      <c r="E1161" s="136">
        <v>45985</v>
      </c>
      <c r="F1161" s="137">
        <v>85320.04</v>
      </c>
      <c r="G1161" s="139">
        <f t="shared" si="37"/>
        <v>-3.2057215568371836E-2</v>
      </c>
    </row>
    <row r="1162" spans="1:7" ht="16.2" thickBot="1" x14ac:dyDescent="0.35">
      <c r="A1162" s="134">
        <v>45986</v>
      </c>
      <c r="B1162" s="135">
        <v>6412</v>
      </c>
      <c r="C1162" s="139">
        <f t="shared" si="36"/>
        <v>0.83346438119201138</v>
      </c>
      <c r="E1162" s="136">
        <v>45986</v>
      </c>
      <c r="F1162" s="137">
        <v>85008.93</v>
      </c>
      <c r="G1162" s="139">
        <f t="shared" si="37"/>
        <v>-0.3646388351435379</v>
      </c>
    </row>
    <row r="1163" spans="1:7" ht="16.2" thickBot="1" x14ac:dyDescent="0.35">
      <c r="A1163" s="134">
        <v>45987</v>
      </c>
      <c r="B1163" s="135">
        <v>6510</v>
      </c>
      <c r="C1163" s="139">
        <f t="shared" si="36"/>
        <v>1.5283842794759825</v>
      </c>
      <c r="E1163" s="136">
        <v>45987</v>
      </c>
      <c r="F1163" s="137">
        <v>84503.44</v>
      </c>
      <c r="G1163" s="139">
        <f t="shared" si="37"/>
        <v>-0.59463164634584953</v>
      </c>
    </row>
    <row r="1164" spans="1:7" ht="16.2" thickBot="1" x14ac:dyDescent="0.35">
      <c r="A1164" s="134">
        <v>45988</v>
      </c>
      <c r="B1164" s="135">
        <v>6490.5</v>
      </c>
      <c r="C1164" s="139">
        <f t="shared" si="36"/>
        <v>-0.29953917050691248</v>
      </c>
      <c r="E1164" s="136">
        <v>45988</v>
      </c>
      <c r="F1164" s="137">
        <v>85745.05</v>
      </c>
      <c r="G1164" s="139">
        <f t="shared" si="37"/>
        <v>1.4693011314095621</v>
      </c>
    </row>
    <row r="1165" spans="1:7" ht="16.2" thickBot="1" x14ac:dyDescent="0.35">
      <c r="A1165" s="134">
        <v>45989</v>
      </c>
      <c r="B1165" s="135">
        <v>6477</v>
      </c>
      <c r="C1165" s="139">
        <f t="shared" si="36"/>
        <v>-0.20799630228795934</v>
      </c>
      <c r="E1165" s="136">
        <v>45989</v>
      </c>
      <c r="F1165" s="137">
        <v>85791.55</v>
      </c>
      <c r="G1165" s="139">
        <f t="shared" si="37"/>
        <v>5.4230535756874594E-2</v>
      </c>
    </row>
    <row r="1166" spans="1:7" ht="16.2" thickBot="1" x14ac:dyDescent="0.35">
      <c r="A1166" s="140">
        <v>45992</v>
      </c>
      <c r="B1166" s="135">
        <v>6422.5</v>
      </c>
      <c r="C1166" s="139">
        <f t="shared" si="36"/>
        <v>-0.84143893777983636</v>
      </c>
      <c r="E1166" s="136">
        <v>45992</v>
      </c>
      <c r="F1166" s="137">
        <v>86065.919999999998</v>
      </c>
      <c r="G1166" s="139">
        <f t="shared" si="37"/>
        <v>0.319810051222988</v>
      </c>
    </row>
    <row r="1167" spans="1:7" ht="16.2" thickBot="1" x14ac:dyDescent="0.35">
      <c r="A1167" s="140">
        <v>45993</v>
      </c>
      <c r="B1167" s="135">
        <v>6417.5</v>
      </c>
      <c r="C1167" s="139">
        <f t="shared" si="36"/>
        <v>-7.7851304009342148E-2</v>
      </c>
      <c r="E1167" s="136">
        <v>45993</v>
      </c>
      <c r="F1167" s="137">
        <v>85325.51</v>
      </c>
      <c r="G1167" s="139">
        <f t="shared" si="37"/>
        <v>-0.86028244396853426</v>
      </c>
    </row>
    <row r="1168" spans="1:7" ht="16.2" thickBot="1" x14ac:dyDescent="0.35">
      <c r="A1168" s="140">
        <v>45994</v>
      </c>
      <c r="B1168" s="135">
        <v>6455</v>
      </c>
      <c r="C1168" s="139">
        <f t="shared" si="36"/>
        <v>0.58433969614335801</v>
      </c>
      <c r="E1168" s="136">
        <v>45994</v>
      </c>
      <c r="F1168" s="137">
        <v>85150.64</v>
      </c>
      <c r="G1168" s="139">
        <f t="shared" si="37"/>
        <v>-0.2049445705041732</v>
      </c>
    </row>
    <row r="1169" spans="1:7" ht="16.2" thickBot="1" x14ac:dyDescent="0.35">
      <c r="A1169" s="140">
        <v>45995</v>
      </c>
      <c r="B1169" s="135">
        <v>6469</v>
      </c>
      <c r="C1169" s="139">
        <f t="shared" si="36"/>
        <v>0.21688613477924087</v>
      </c>
      <c r="E1169" s="136">
        <v>45995</v>
      </c>
      <c r="F1169" s="137">
        <v>84987.56</v>
      </c>
      <c r="G1169" s="139">
        <f t="shared" si="37"/>
        <v>-0.19151940607845314</v>
      </c>
    </row>
    <row r="1170" spans="1:7" ht="16.2" thickBot="1" x14ac:dyDescent="0.35">
      <c r="A1170" s="140">
        <v>45996</v>
      </c>
      <c r="B1170" s="135">
        <v>6473.5</v>
      </c>
      <c r="C1170" s="139">
        <f t="shared" si="36"/>
        <v>6.956252898438707E-2</v>
      </c>
      <c r="E1170" s="136">
        <v>45996</v>
      </c>
      <c r="F1170" s="137">
        <v>85125.48</v>
      </c>
      <c r="G1170" s="139">
        <f t="shared" si="37"/>
        <v>0.16228257406142529</v>
      </c>
    </row>
    <row r="1171" spans="1:7" ht="16.2" thickBot="1" x14ac:dyDescent="0.35">
      <c r="A1171" s="140">
        <v>45999</v>
      </c>
      <c r="B1171" s="135">
        <v>6328.5</v>
      </c>
      <c r="C1171" s="139">
        <f t="shared" si="36"/>
        <v>-2.2399011353981617</v>
      </c>
      <c r="E1171" s="136">
        <v>45999</v>
      </c>
      <c r="F1171" s="137">
        <v>85624.84</v>
      </c>
      <c r="G1171" s="139">
        <f t="shared" si="37"/>
        <v>0.58661636915292648</v>
      </c>
    </row>
    <row r="1172" spans="1:7" ht="16.2" thickBot="1" x14ac:dyDescent="0.35">
      <c r="A1172" s="140">
        <v>46000</v>
      </c>
      <c r="B1172" s="135">
        <v>6294</v>
      </c>
      <c r="C1172" s="139">
        <f t="shared" si="36"/>
        <v>-0.54515287982934346</v>
      </c>
      <c r="E1172" s="136">
        <v>46000</v>
      </c>
      <c r="F1172" s="137">
        <v>84742.87</v>
      </c>
      <c r="G1172" s="139">
        <f t="shared" si="37"/>
        <v>-1.0300398809504359</v>
      </c>
    </row>
    <row r="1173" spans="1:7" ht="16.2" thickBot="1" x14ac:dyDescent="0.35">
      <c r="A1173" s="140">
        <v>46001</v>
      </c>
      <c r="B1173" s="135">
        <v>6294.5</v>
      </c>
      <c r="C1173" s="139">
        <f t="shared" si="36"/>
        <v>7.9440737210041308E-3</v>
      </c>
      <c r="E1173" s="136">
        <v>46001</v>
      </c>
      <c r="F1173" s="137">
        <v>84607.49</v>
      </c>
      <c r="G1173" s="139">
        <f t="shared" si="37"/>
        <v>-0.15975385303800793</v>
      </c>
    </row>
    <row r="1174" spans="1:7" ht="16.2" thickBot="1" x14ac:dyDescent="0.35">
      <c r="A1174" s="140">
        <v>46002</v>
      </c>
      <c r="B1174" s="135">
        <v>6430</v>
      </c>
      <c r="C1174" s="139">
        <f t="shared" si="36"/>
        <v>2.1526729684645325</v>
      </c>
      <c r="E1174" s="136">
        <v>46002</v>
      </c>
      <c r="F1174" s="137">
        <v>84456.75</v>
      </c>
      <c r="G1174" s="139">
        <f t="shared" si="37"/>
        <v>-0.17816389541872149</v>
      </c>
    </row>
    <row r="1175" spans="1:7" ht="16.2" thickBot="1" x14ac:dyDescent="0.35">
      <c r="A1175" s="140">
        <v>46003</v>
      </c>
      <c r="B1175" s="135">
        <v>6426.5</v>
      </c>
      <c r="C1175" s="139">
        <f t="shared" si="36"/>
        <v>-5.4432348367029551E-2</v>
      </c>
      <c r="E1175" s="136">
        <v>46003</v>
      </c>
      <c r="F1175" s="137">
        <v>85051.03</v>
      </c>
      <c r="G1175" s="139">
        <f t="shared" si="37"/>
        <v>0.70365009309498516</v>
      </c>
    </row>
    <row r="1176" spans="1:7" ht="16.2" thickBot="1" x14ac:dyDescent="0.35">
      <c r="A1176" s="134">
        <v>46006</v>
      </c>
      <c r="B1176" s="135">
        <v>6347.5</v>
      </c>
      <c r="C1176" s="139">
        <f t="shared" si="36"/>
        <v>-1.2292849918307009</v>
      </c>
      <c r="E1176" s="136">
        <v>46006</v>
      </c>
      <c r="F1176" s="137">
        <v>84891.75</v>
      </c>
      <c r="G1176" s="139">
        <f t="shared" si="37"/>
        <v>-0.18727580371454508</v>
      </c>
    </row>
    <row r="1177" spans="1:7" ht="16.2" thickBot="1" x14ac:dyDescent="0.35">
      <c r="A1177" s="134">
        <v>46007</v>
      </c>
      <c r="B1177" s="135">
        <v>6335.5</v>
      </c>
      <c r="C1177" s="139">
        <f t="shared" si="36"/>
        <v>-0.18905080740448996</v>
      </c>
      <c r="E1177" s="136">
        <v>46007</v>
      </c>
      <c r="F1177" s="137">
        <v>85025.61</v>
      </c>
      <c r="G1177" s="139">
        <f t="shared" si="37"/>
        <v>0.15768316709220931</v>
      </c>
    </row>
    <row r="1178" spans="1:7" ht="16.2" thickBot="1" x14ac:dyDescent="0.35">
      <c r="A1178" s="134">
        <v>46008</v>
      </c>
      <c r="B1178" s="135">
        <v>6293</v>
      </c>
      <c r="C1178" s="139">
        <f t="shared" si="36"/>
        <v>-0.67082313945229266</v>
      </c>
      <c r="E1178" s="136">
        <v>46008</v>
      </c>
      <c r="F1178" s="137">
        <v>84856.26</v>
      </c>
      <c r="G1178" s="139">
        <f t="shared" si="37"/>
        <v>-0.19917528377627144</v>
      </c>
    </row>
    <row r="1179" spans="1:7" ht="16.2" thickBot="1" x14ac:dyDescent="0.35">
      <c r="A1179" s="134">
        <v>46009</v>
      </c>
      <c r="B1179" s="135">
        <v>6380</v>
      </c>
      <c r="C1179" s="139">
        <f t="shared" si="36"/>
        <v>1.3824884792626728</v>
      </c>
      <c r="E1179" s="136">
        <v>46009</v>
      </c>
      <c r="F1179" s="137">
        <v>84518.33</v>
      </c>
      <c r="G1179" s="139">
        <f t="shared" si="37"/>
        <v>-0.39823815001980178</v>
      </c>
    </row>
    <row r="1180" spans="1:7" ht="16.2" thickBot="1" x14ac:dyDescent="0.35">
      <c r="A1180" s="134">
        <v>46010</v>
      </c>
      <c r="B1180" s="135">
        <v>6478.5</v>
      </c>
      <c r="C1180" s="139">
        <f t="shared" si="36"/>
        <v>1.5438871473354232</v>
      </c>
      <c r="E1180" s="136">
        <v>46010</v>
      </c>
      <c r="F1180" s="137">
        <v>84756.79</v>
      </c>
      <c r="G1180" s="139">
        <f t="shared" si="37"/>
        <v>0.28213998075919372</v>
      </c>
    </row>
    <row r="1181" spans="1:7" ht="16.2" thickBot="1" x14ac:dyDescent="0.35">
      <c r="A1181" s="134">
        <v>46013</v>
      </c>
      <c r="B1181" s="135">
        <v>6511.5</v>
      </c>
      <c r="C1181" s="139">
        <f t="shared" si="36"/>
        <v>0.50937717064135213</v>
      </c>
      <c r="E1181" s="136">
        <v>46013</v>
      </c>
      <c r="F1181" s="137">
        <v>85145.9</v>
      </c>
      <c r="G1181" s="139">
        <f t="shared" si="37"/>
        <v>0.45909006228291632</v>
      </c>
    </row>
    <row r="1182" spans="1:7" ht="16.2" thickBot="1" x14ac:dyDescent="0.35">
      <c r="A1182" s="134">
        <v>46014</v>
      </c>
      <c r="B1182" s="135">
        <v>6476.5</v>
      </c>
      <c r="C1182" s="139">
        <f t="shared" si="36"/>
        <v>-0.53751055824310834</v>
      </c>
      <c r="E1182" s="136">
        <v>46014</v>
      </c>
      <c r="F1182" s="137">
        <v>85690.1</v>
      </c>
      <c r="G1182" s="139">
        <f t="shared" si="37"/>
        <v>0.63913823214037513</v>
      </c>
    </row>
    <row r="1183" spans="1:7" ht="16.2" thickBot="1" x14ac:dyDescent="0.35">
      <c r="A1183" s="134">
        <v>46015</v>
      </c>
      <c r="B1183" s="135">
        <v>6496.5</v>
      </c>
      <c r="C1183" s="139">
        <f t="shared" si="36"/>
        <v>0.30880877016907277</v>
      </c>
      <c r="E1183" s="136">
        <v>46015</v>
      </c>
      <c r="F1183" s="137">
        <v>85533.11</v>
      </c>
      <c r="G1183" s="139">
        <f t="shared" si="37"/>
        <v>-0.18320669482239516</v>
      </c>
    </row>
    <row r="1184" spans="1:7" ht="16.2" thickBot="1" x14ac:dyDescent="0.35">
      <c r="A1184" s="134">
        <v>46017</v>
      </c>
      <c r="B1184" s="135">
        <v>6427.5</v>
      </c>
      <c r="C1184" s="139">
        <f t="shared" si="36"/>
        <v>-1.0621103671207575</v>
      </c>
      <c r="E1184" s="136">
        <v>46017</v>
      </c>
      <c r="F1184" s="137">
        <v>85225.279999999999</v>
      </c>
      <c r="G1184" s="139">
        <f t="shared" si="37"/>
        <v>-0.35989571757650546</v>
      </c>
    </row>
    <row r="1185" spans="1:7" ht="16.2" thickBot="1" x14ac:dyDescent="0.35">
      <c r="A1185" s="134">
        <v>46020</v>
      </c>
      <c r="B1185" s="135">
        <v>6390.5</v>
      </c>
      <c r="C1185" s="139">
        <f t="shared" si="36"/>
        <v>-0.57565149747180089</v>
      </c>
      <c r="E1185" s="136">
        <v>46020</v>
      </c>
      <c r="F1185" s="137">
        <v>85004.75</v>
      </c>
      <c r="G1185" s="139">
        <f t="shared" si="37"/>
        <v>-0.25876125018304291</v>
      </c>
    </row>
    <row r="1186" spans="1:7" ht="16.2" thickBot="1" x14ac:dyDescent="0.35">
      <c r="A1186" s="134">
        <v>46021</v>
      </c>
      <c r="B1186" s="135">
        <v>6360.5</v>
      </c>
      <c r="C1186" s="139">
        <f t="shared" si="36"/>
        <v>-0.46944683514591973</v>
      </c>
      <c r="E1186" s="136">
        <v>46021</v>
      </c>
      <c r="F1186" s="137">
        <v>84600.99</v>
      </c>
      <c r="G1186" s="139">
        <f t="shared" si="37"/>
        <v>-0.47498522141409133</v>
      </c>
    </row>
    <row r="1187" spans="1:7" ht="16.2" thickBot="1" x14ac:dyDescent="0.35">
      <c r="A1187" s="134">
        <v>46022</v>
      </c>
      <c r="B1187" s="135">
        <v>6392.5</v>
      </c>
      <c r="C1187" s="139">
        <f t="shared" si="36"/>
        <v>0.50310510180017298</v>
      </c>
      <c r="E1187" s="136">
        <v>46022</v>
      </c>
      <c r="F1187" s="137">
        <v>84793.58</v>
      </c>
      <c r="G1187" s="139">
        <f t="shared" si="37"/>
        <v>0.22764509020520504</v>
      </c>
    </row>
    <row r="1188" spans="1:7" ht="16.2" thickBot="1" x14ac:dyDescent="0.35">
      <c r="A1188" s="140">
        <v>46023</v>
      </c>
      <c r="B1188" s="135">
        <v>6344</v>
      </c>
      <c r="C1188" s="139">
        <f t="shared" si="36"/>
        <v>-0.75870160344153303</v>
      </c>
      <c r="E1188" s="136">
        <v>46023</v>
      </c>
      <c r="F1188" s="137">
        <v>85255.55</v>
      </c>
      <c r="G1188" s="139">
        <f t="shared" si="37"/>
        <v>0.54481719016935137</v>
      </c>
    </row>
    <row r="1189" spans="1:7" ht="16.2" thickBot="1" x14ac:dyDescent="0.35">
      <c r="A1189" s="140">
        <v>46024</v>
      </c>
      <c r="B1189" s="135">
        <v>6392.5</v>
      </c>
      <c r="C1189" s="139">
        <f t="shared" si="36"/>
        <v>0.76450189155107184</v>
      </c>
      <c r="E1189" s="136">
        <v>46024</v>
      </c>
      <c r="F1189" s="137">
        <v>85259.36</v>
      </c>
      <c r="G1189" s="139">
        <f t="shared" si="37"/>
        <v>4.4689172728317062E-3</v>
      </c>
    </row>
    <row r="1190" spans="1:7" ht="16.2" thickBot="1" x14ac:dyDescent="0.35">
      <c r="A1190" s="140">
        <v>46027</v>
      </c>
      <c r="B1190" s="135">
        <v>6363.5</v>
      </c>
      <c r="C1190" s="139">
        <f t="shared" si="36"/>
        <v>-0.45365662886194763</v>
      </c>
      <c r="E1190" s="136">
        <v>46027</v>
      </c>
      <c r="F1190" s="137">
        <v>85640.05</v>
      </c>
      <c r="G1190" s="139">
        <f t="shared" si="37"/>
        <v>0.44650816051164621</v>
      </c>
    </row>
    <row r="1191" spans="1:7" ht="16.2" thickBot="1" x14ac:dyDescent="0.35">
      <c r="A1191" s="140">
        <v>46028</v>
      </c>
      <c r="B1191" s="135">
        <v>6642.5</v>
      </c>
      <c r="C1191" s="139">
        <f t="shared" si="36"/>
        <v>4.3843796652785416</v>
      </c>
      <c r="E1191" s="136">
        <v>46028</v>
      </c>
      <c r="F1191" s="137">
        <v>85331.14</v>
      </c>
      <c r="G1191" s="139">
        <f t="shared" si="37"/>
        <v>-0.36070740266966622</v>
      </c>
    </row>
    <row r="1192" spans="1:7" ht="16.2" thickBot="1" x14ac:dyDescent="0.35">
      <c r="A1192" s="140">
        <v>46029</v>
      </c>
      <c r="B1192" s="135">
        <v>6642.5</v>
      </c>
      <c r="C1192" s="139">
        <f t="shared" si="36"/>
        <v>0</v>
      </c>
      <c r="E1192" s="136">
        <v>46029</v>
      </c>
      <c r="F1192" s="137">
        <v>84620.4</v>
      </c>
      <c r="G1192" s="139">
        <f t="shared" si="37"/>
        <v>-0.83291984614292658</v>
      </c>
    </row>
    <row r="1193" spans="1:7" ht="16.2" thickBot="1" x14ac:dyDescent="0.35">
      <c r="A1193" s="140">
        <v>46030</v>
      </c>
      <c r="B1193" s="135">
        <v>6600.5</v>
      </c>
      <c r="C1193" s="139">
        <f t="shared" si="36"/>
        <v>-0.632292058712834</v>
      </c>
      <c r="E1193" s="136">
        <v>46030</v>
      </c>
      <c r="F1193" s="137">
        <v>84778.02</v>
      </c>
      <c r="G1193" s="139">
        <f t="shared" si="37"/>
        <v>0.18626714125672994</v>
      </c>
    </row>
    <row r="1194" spans="1:7" ht="16.2" thickBot="1" x14ac:dyDescent="0.35">
      <c r="A1194" s="140">
        <v>46031</v>
      </c>
      <c r="B1194" s="135">
        <v>6616.5</v>
      </c>
      <c r="C1194" s="139">
        <f t="shared" si="36"/>
        <v>0.24240587834254979</v>
      </c>
      <c r="E1194" s="136">
        <v>46031</v>
      </c>
      <c r="F1194" s="137">
        <v>84022.09</v>
      </c>
      <c r="G1194" s="139">
        <f t="shared" si="37"/>
        <v>-0.89165800286443064</v>
      </c>
    </row>
    <row r="1195" spans="1:7" ht="16.2" thickBot="1" x14ac:dyDescent="0.35">
      <c r="A1195" s="140">
        <v>46034</v>
      </c>
      <c r="B1195" s="135">
        <v>6485.5</v>
      </c>
      <c r="C1195" s="139">
        <f t="shared" si="36"/>
        <v>-1.979898738003476</v>
      </c>
      <c r="E1195" s="136">
        <v>46034</v>
      </c>
      <c r="F1195" s="137">
        <v>83435.31</v>
      </c>
      <c r="G1195" s="139">
        <f t="shared" si="37"/>
        <v>-0.69836396595228567</v>
      </c>
    </row>
    <row r="1196" spans="1:7" ht="16.2" thickBot="1" x14ac:dyDescent="0.35">
      <c r="A1196" s="134">
        <v>46035</v>
      </c>
      <c r="B1196" s="135">
        <v>6436.5</v>
      </c>
      <c r="C1196" s="139">
        <f t="shared" si="36"/>
        <v>-0.75553157042633567</v>
      </c>
      <c r="E1196" s="136">
        <v>46035</v>
      </c>
      <c r="F1196" s="137">
        <v>84079.32</v>
      </c>
      <c r="G1196" s="139">
        <f t="shared" si="37"/>
        <v>0.77186745036365223</v>
      </c>
    </row>
    <row r="1197" spans="1:7" ht="16.2" thickBot="1" x14ac:dyDescent="0.35">
      <c r="A1197" s="134">
        <v>46036</v>
      </c>
      <c r="B1197" s="135">
        <v>6355.5</v>
      </c>
      <c r="C1197" s="139">
        <f t="shared" si="36"/>
        <v>-1.2584479142391052</v>
      </c>
      <c r="E1197" s="136">
        <v>46036</v>
      </c>
      <c r="F1197" s="137">
        <v>83358.539999999994</v>
      </c>
      <c r="G1197" s="139">
        <f t="shared" si="37"/>
        <v>-0.85726192837907511</v>
      </c>
    </row>
    <row r="1198" spans="1:7" ht="16.2" thickBot="1" x14ac:dyDescent="0.35">
      <c r="A1198" s="134">
        <v>46038</v>
      </c>
      <c r="B1198" s="135">
        <v>6236</v>
      </c>
      <c r="C1198" s="139">
        <f t="shared" si="36"/>
        <v>-1.8802611910943277</v>
      </c>
      <c r="E1198" s="136">
        <v>46038</v>
      </c>
      <c r="F1198" s="137">
        <v>83670.789999999994</v>
      </c>
      <c r="G1198" s="139">
        <f t="shared" si="37"/>
        <v>0.37458669501649144</v>
      </c>
    </row>
    <row r="1199" spans="1:7" ht="16.2" thickBot="1" x14ac:dyDescent="0.35">
      <c r="A1199" s="134">
        <v>46041</v>
      </c>
      <c r="B1199" s="135">
        <v>6140</v>
      </c>
      <c r="C1199" s="139">
        <f t="shared" si="36"/>
        <v>-1.539448364336113</v>
      </c>
      <c r="E1199" s="136">
        <v>46041</v>
      </c>
      <c r="F1199" s="137">
        <v>83494.490000000005</v>
      </c>
      <c r="G1199" s="139">
        <f t="shared" si="37"/>
        <v>-0.21070674724116789</v>
      </c>
    </row>
    <row r="1200" spans="1:7" ht="16.2" thickBot="1" x14ac:dyDescent="0.35">
      <c r="A1200" s="134">
        <v>46042</v>
      </c>
      <c r="B1200" s="135">
        <v>6013</v>
      </c>
      <c r="C1200" s="139">
        <f t="shared" si="36"/>
        <v>-2.0684039087947883</v>
      </c>
      <c r="E1200" s="136">
        <v>46042</v>
      </c>
      <c r="F1200" s="137">
        <v>83207.38</v>
      </c>
      <c r="G1200" s="139">
        <f t="shared" si="37"/>
        <v>-0.34386700248124225</v>
      </c>
    </row>
    <row r="1201" spans="1:7" ht="16.2" thickBot="1" x14ac:dyDescent="0.35">
      <c r="A1201" s="134">
        <v>46043</v>
      </c>
      <c r="B1201" s="135">
        <v>6010</v>
      </c>
      <c r="C1201" s="139">
        <f t="shared" si="36"/>
        <v>-4.9891900881423583E-2</v>
      </c>
      <c r="E1201" s="136">
        <v>46043</v>
      </c>
      <c r="F1201" s="137">
        <v>81794.649999999994</v>
      </c>
      <c r="G1201" s="139">
        <f t="shared" si="37"/>
        <v>-1.6978421865945188</v>
      </c>
    </row>
    <row r="1202" spans="1:7" ht="16.2" thickBot="1" x14ac:dyDescent="0.35">
      <c r="A1202" s="134">
        <v>46044</v>
      </c>
      <c r="B1202" s="135">
        <v>6071</v>
      </c>
      <c r="C1202" s="139">
        <f t="shared" si="36"/>
        <v>1.0149750415973378</v>
      </c>
      <c r="E1202" s="136">
        <v>46044</v>
      </c>
      <c r="F1202" s="137">
        <v>82459.66</v>
      </c>
      <c r="G1202" s="139">
        <f t="shared" si="37"/>
        <v>0.81302383468846595</v>
      </c>
    </row>
    <row r="1203" spans="1:7" ht="16.2" thickBot="1" x14ac:dyDescent="0.35">
      <c r="A1203" s="134">
        <v>46045</v>
      </c>
      <c r="B1203" s="135">
        <v>6011.5</v>
      </c>
      <c r="C1203" s="139">
        <f t="shared" si="36"/>
        <v>-0.98006918135397791</v>
      </c>
      <c r="E1203" s="136">
        <v>46045</v>
      </c>
      <c r="F1203" s="137">
        <v>82335.94</v>
      </c>
      <c r="G1203" s="139">
        <f t="shared" si="37"/>
        <v>-0.15003699991001801</v>
      </c>
    </row>
    <row r="1204" spans="1:7" ht="16.2" thickBot="1" x14ac:dyDescent="0.35">
      <c r="A1204" s="134">
        <v>46049</v>
      </c>
      <c r="B1204" s="135">
        <v>6056</v>
      </c>
      <c r="C1204" s="139">
        <f t="shared" si="36"/>
        <v>0.74024785827164596</v>
      </c>
      <c r="E1204" s="136">
        <v>46049</v>
      </c>
      <c r="F1204" s="137">
        <v>81436.789999999994</v>
      </c>
      <c r="G1204" s="139">
        <f t="shared" si="37"/>
        <v>-1.09205044601423</v>
      </c>
    </row>
    <row r="1205" spans="1:7" ht="16.2" thickBot="1" x14ac:dyDescent="0.35">
      <c r="A1205" s="134">
        <v>46050</v>
      </c>
      <c r="B1205" s="135">
        <v>6188</v>
      </c>
      <c r="C1205" s="139">
        <f t="shared" si="36"/>
        <v>2.179656538969617</v>
      </c>
      <c r="E1205" s="136">
        <v>46050</v>
      </c>
      <c r="F1205" s="137">
        <v>81892.36</v>
      </c>
      <c r="G1205" s="139">
        <f t="shared" si="37"/>
        <v>0.55941546811951581</v>
      </c>
    </row>
    <row r="1206" spans="1:7" ht="16.2" thickBot="1" x14ac:dyDescent="0.35">
      <c r="A1206" s="134">
        <v>46051</v>
      </c>
      <c r="B1206" s="135">
        <v>6041</v>
      </c>
      <c r="C1206" s="139">
        <f t="shared" si="36"/>
        <v>-2.3755656108597285</v>
      </c>
      <c r="E1206" s="136">
        <v>46051</v>
      </c>
      <c r="F1206" s="137">
        <v>82368.960000000006</v>
      </c>
      <c r="G1206" s="139">
        <f t="shared" si="37"/>
        <v>0.58198347196247102</v>
      </c>
    </row>
    <row r="1207" spans="1:7" ht="16.2" thickBot="1" x14ac:dyDescent="0.35">
      <c r="A1207" s="134">
        <v>46052</v>
      </c>
      <c r="B1207" s="135">
        <v>6051</v>
      </c>
      <c r="C1207" s="139">
        <f t="shared" si="36"/>
        <v>0.16553550736633008</v>
      </c>
      <c r="E1207" s="136">
        <v>46052</v>
      </c>
      <c r="F1207" s="137">
        <v>81947.31</v>
      </c>
      <c r="G1207" s="139">
        <f t="shared" si="37"/>
        <v>-0.51190399878790349</v>
      </c>
    </row>
    <row r="1208" spans="1:7" ht="16.2" thickBot="1" x14ac:dyDescent="0.35">
      <c r="A1208" s="140">
        <v>46054</v>
      </c>
      <c r="B1208" s="135">
        <v>6056</v>
      </c>
      <c r="C1208" s="139">
        <f t="shared" si="36"/>
        <v>8.2630970087588823E-2</v>
      </c>
      <c r="E1208" s="136">
        <v>46054</v>
      </c>
      <c r="F1208" s="137">
        <v>82388.97</v>
      </c>
      <c r="G1208" s="139">
        <f t="shared" si="37"/>
        <v>0.53895606823458087</v>
      </c>
    </row>
    <row r="1209" spans="1:7" ht="16.2" thickBot="1" x14ac:dyDescent="0.35">
      <c r="A1209" s="140">
        <v>46055</v>
      </c>
      <c r="B1209" s="135">
        <v>5952.5</v>
      </c>
      <c r="C1209" s="139">
        <f t="shared" si="36"/>
        <v>-1.7090488771466315</v>
      </c>
      <c r="E1209" s="136">
        <v>46055</v>
      </c>
      <c r="F1209" s="137">
        <v>80555.679999999993</v>
      </c>
      <c r="G1209" s="139">
        <f t="shared" si="37"/>
        <v>-2.2251643636278113</v>
      </c>
    </row>
    <row r="1210" spans="1:7" ht="16.2" thickBot="1" x14ac:dyDescent="0.35">
      <c r="A1210" s="140">
        <v>46056</v>
      </c>
      <c r="B1210" s="135">
        <v>6209</v>
      </c>
      <c r="C1210" s="139">
        <f t="shared" si="36"/>
        <v>4.3091138177236452</v>
      </c>
      <c r="E1210" s="136">
        <v>46056</v>
      </c>
      <c r="F1210" s="137">
        <v>85323.199999999997</v>
      </c>
      <c r="G1210" s="139">
        <f t="shared" si="37"/>
        <v>5.9182915469151336</v>
      </c>
    </row>
    <row r="1211" spans="1:7" ht="16.2" thickBot="1" x14ac:dyDescent="0.35">
      <c r="A1211" s="140">
        <v>46057</v>
      </c>
      <c r="B1211" s="135">
        <v>6054.5</v>
      </c>
      <c r="C1211" s="139">
        <f t="shared" si="36"/>
        <v>-2.4883234015139313</v>
      </c>
      <c r="E1211" s="136">
        <v>46057</v>
      </c>
      <c r="F1211" s="137">
        <v>83252.06</v>
      </c>
      <c r="G1211" s="139">
        <f t="shared" si="37"/>
        <v>-2.4274054418962248</v>
      </c>
    </row>
    <row r="1212" spans="1:7" ht="16.2" thickBot="1" x14ac:dyDescent="0.35">
      <c r="A1212" s="140">
        <v>46058</v>
      </c>
      <c r="B1212" s="135">
        <v>6141.5</v>
      </c>
      <c r="C1212" s="139">
        <f t="shared" si="36"/>
        <v>1.4369477248327691</v>
      </c>
      <c r="E1212" s="136">
        <v>46058</v>
      </c>
      <c r="F1212" s="137">
        <v>83757.539999999994</v>
      </c>
      <c r="G1212" s="139">
        <f t="shared" si="37"/>
        <v>0.60716815896206766</v>
      </c>
    </row>
    <row r="1213" spans="1:7" ht="16.2" thickBot="1" x14ac:dyDescent="0.35">
      <c r="A1213" s="140">
        <v>46059</v>
      </c>
      <c r="B1213" s="135">
        <v>6024.5</v>
      </c>
      <c r="C1213" s="139">
        <f t="shared" si="36"/>
        <v>-1.9050720508019214</v>
      </c>
      <c r="E1213" s="136">
        <v>46059</v>
      </c>
      <c r="F1213" s="137">
        <v>83249.320000000007</v>
      </c>
      <c r="G1213" s="139">
        <f t="shared" si="37"/>
        <v>-0.60677522286350183</v>
      </c>
    </row>
    <row r="1214" spans="1:7" ht="16.2" thickBot="1" x14ac:dyDescent="0.35">
      <c r="A1214" s="140">
        <v>46062</v>
      </c>
      <c r="B1214" s="135">
        <v>6113.5</v>
      </c>
      <c r="C1214" s="139">
        <f t="shared" si="36"/>
        <v>1.4773010208316042</v>
      </c>
      <c r="E1214" s="136">
        <v>46062</v>
      </c>
      <c r="F1214" s="137">
        <v>84177.51</v>
      </c>
      <c r="G1214" s="139">
        <f t="shared" si="37"/>
        <v>1.1149520500587726</v>
      </c>
    </row>
    <row r="1215" spans="1:7" ht="16.2" thickBot="1" x14ac:dyDescent="0.35">
      <c r="A1215" s="140">
        <v>46063</v>
      </c>
      <c r="B1215" s="135">
        <v>6175.5</v>
      </c>
      <c r="C1215" s="139">
        <f t="shared" si="36"/>
        <v>1.0141490144761593</v>
      </c>
      <c r="E1215" s="136">
        <v>46063</v>
      </c>
      <c r="F1215" s="137">
        <v>84210</v>
      </c>
      <c r="G1215" s="139">
        <f t="shared" si="37"/>
        <v>3.8597007680561284E-2</v>
      </c>
    </row>
    <row r="1216" spans="1:7" ht="16.2" thickBot="1" x14ac:dyDescent="0.35">
      <c r="A1216" s="140">
        <v>46064</v>
      </c>
      <c r="B1216" s="135">
        <v>6386.5</v>
      </c>
      <c r="C1216" s="139">
        <f t="shared" si="36"/>
        <v>3.4167273904946969</v>
      </c>
      <c r="E1216" s="136">
        <v>46064</v>
      </c>
      <c r="F1216" s="137">
        <v>84339.15</v>
      </c>
      <c r="G1216" s="139">
        <f t="shared" si="37"/>
        <v>0.15336658354114022</v>
      </c>
    </row>
    <row r="1217" spans="1:7" ht="16.2" thickBot="1" x14ac:dyDescent="0.35">
      <c r="A1217" s="140">
        <v>46065</v>
      </c>
      <c r="B1217" s="135">
        <v>6185</v>
      </c>
      <c r="C1217" s="139">
        <f t="shared" si="36"/>
        <v>-3.155092773819776</v>
      </c>
      <c r="E1217" s="136">
        <v>46065</v>
      </c>
      <c r="F1217" s="137">
        <v>83968.43</v>
      </c>
      <c r="G1217" s="139">
        <f t="shared" si="37"/>
        <v>-0.43955861542356217</v>
      </c>
    </row>
    <row r="1218" spans="1:7" ht="16.2" thickBot="1" x14ac:dyDescent="0.35">
      <c r="A1218" s="134">
        <v>46066</v>
      </c>
      <c r="B1218" s="135">
        <v>6168.5</v>
      </c>
      <c r="C1218" s="139">
        <f t="shared" si="36"/>
        <v>-0.26677445432497976</v>
      </c>
      <c r="E1218" s="136">
        <v>46066</v>
      </c>
      <c r="F1218" s="137">
        <v>82902.73</v>
      </c>
      <c r="G1218" s="139">
        <f t="shared" si="37"/>
        <v>-1.2691674716318946</v>
      </c>
    </row>
    <row r="1219" spans="1:7" ht="16.2" thickBot="1" x14ac:dyDescent="0.35">
      <c r="A1219" s="134">
        <v>46069</v>
      </c>
      <c r="B1219" s="135">
        <v>6149.5</v>
      </c>
      <c r="C1219" s="139">
        <f t="shared" si="36"/>
        <v>-0.30801653562454406</v>
      </c>
      <c r="E1219" s="136">
        <v>46069</v>
      </c>
      <c r="F1219" s="137">
        <v>82480.399999999994</v>
      </c>
      <c r="G1219" s="139">
        <f t="shared" si="37"/>
        <v>-0.50942833848776958</v>
      </c>
    </row>
    <row r="1220" spans="1:7" ht="16.2" thickBot="1" x14ac:dyDescent="0.35">
      <c r="A1220" s="134">
        <v>46070</v>
      </c>
      <c r="B1220" s="135">
        <v>6187.5</v>
      </c>
      <c r="C1220" s="139">
        <f t="shared" si="36"/>
        <v>0.61793641759492646</v>
      </c>
      <c r="E1220" s="136">
        <v>46070</v>
      </c>
      <c r="F1220" s="137">
        <v>83197.67</v>
      </c>
      <c r="G1220" s="139">
        <f t="shared" si="37"/>
        <v>0.86962478358495365</v>
      </c>
    </row>
    <row r="1221" spans="1:7" ht="16.2" thickBot="1" x14ac:dyDescent="0.35">
      <c r="A1221" s="134">
        <v>46071</v>
      </c>
      <c r="B1221" s="135">
        <v>6283.5</v>
      </c>
      <c r="C1221" s="139">
        <f t="shared" si="36"/>
        <v>1.5515151515151515</v>
      </c>
      <c r="E1221" s="136">
        <v>46071</v>
      </c>
      <c r="F1221" s="137">
        <v>83553.59</v>
      </c>
      <c r="G1221" s="139">
        <f t="shared" si="37"/>
        <v>0.42780044200756856</v>
      </c>
    </row>
    <row r="1222" spans="1:7" ht="16.2" thickBot="1" x14ac:dyDescent="0.35">
      <c r="A1222" s="134">
        <v>46072</v>
      </c>
      <c r="B1222" s="135">
        <v>6297.5</v>
      </c>
      <c r="C1222" s="139">
        <f t="shared" si="36"/>
        <v>0.22280576112039466</v>
      </c>
      <c r="E1222" s="136">
        <v>46072</v>
      </c>
      <c r="F1222" s="137">
        <v>83969.82</v>
      </c>
      <c r="G1222" s="139">
        <f t="shared" si="37"/>
        <v>0.4981593250511564</v>
      </c>
    </row>
    <row r="1223" spans="1:7" ht="16.2" thickBot="1" x14ac:dyDescent="0.35">
      <c r="A1223" s="134">
        <v>46073</v>
      </c>
      <c r="B1223" s="135">
        <v>6291</v>
      </c>
      <c r="C1223" s="139">
        <f t="shared" si="36"/>
        <v>-0.10321556173084558</v>
      </c>
      <c r="E1223" s="136">
        <v>46073</v>
      </c>
      <c r="F1223" s="137">
        <v>82272.490000000005</v>
      </c>
      <c r="G1223" s="139">
        <f t="shared" si="37"/>
        <v>-2.0213571971453574</v>
      </c>
    </row>
    <row r="1224" spans="1:7" ht="16.2" thickBot="1" x14ac:dyDescent="0.35">
      <c r="A1224" s="134">
        <v>46076</v>
      </c>
      <c r="B1224" s="135">
        <v>6293.5</v>
      </c>
      <c r="C1224" s="139">
        <f t="shared" ref="C1224:C1243" si="38">(B1224-B1223)/B1223*100</f>
        <v>3.9739310125576216E-2</v>
      </c>
      <c r="E1224" s="136">
        <v>46076</v>
      </c>
      <c r="F1224" s="137">
        <v>82906.83</v>
      </c>
      <c r="G1224" s="139">
        <f t="shared" ref="G1224:G1243" si="39">(F1224-F1223)/F1223*100</f>
        <v>0.77102321808905561</v>
      </c>
    </row>
    <row r="1225" spans="1:7" ht="16.2" thickBot="1" x14ac:dyDescent="0.35">
      <c r="A1225" s="134">
        <v>46077</v>
      </c>
      <c r="B1225" s="135">
        <v>6255.5</v>
      </c>
      <c r="C1225" s="139">
        <f t="shared" si="38"/>
        <v>-0.60379756892031455</v>
      </c>
      <c r="E1225" s="136">
        <v>46077</v>
      </c>
      <c r="F1225" s="137">
        <v>83052.539999999994</v>
      </c>
      <c r="G1225" s="139">
        <f t="shared" si="39"/>
        <v>0.17575150322354849</v>
      </c>
    </row>
    <row r="1226" spans="1:7" ht="16.2" thickBot="1" x14ac:dyDescent="0.35">
      <c r="A1226" s="134">
        <v>46078</v>
      </c>
      <c r="B1226" s="135">
        <v>6395.5</v>
      </c>
      <c r="C1226" s="139">
        <f t="shared" si="38"/>
        <v>2.238030533130845</v>
      </c>
      <c r="E1226" s="136">
        <v>46078</v>
      </c>
      <c r="F1226" s="137">
        <v>82530.12</v>
      </c>
      <c r="G1226" s="139">
        <f t="shared" si="39"/>
        <v>-0.62902350728827594</v>
      </c>
    </row>
    <row r="1227" spans="1:7" ht="16.2" thickBot="1" x14ac:dyDescent="0.35">
      <c r="A1227" s="134">
        <v>46079</v>
      </c>
      <c r="B1227" s="135">
        <v>6474</v>
      </c>
      <c r="C1227" s="139">
        <f t="shared" si="38"/>
        <v>1.2274255335782973</v>
      </c>
      <c r="E1227" s="136">
        <v>46079</v>
      </c>
      <c r="F1227" s="137">
        <v>82418.78</v>
      </c>
      <c r="G1227" s="139">
        <f t="shared" si="39"/>
        <v>-0.13490832195566482</v>
      </c>
    </row>
    <row r="1228" spans="1:7" ht="16.2" thickBot="1" x14ac:dyDescent="0.35">
      <c r="A1228" s="134">
        <v>46080</v>
      </c>
      <c r="B1228" s="135">
        <v>6408.5</v>
      </c>
      <c r="C1228" s="139">
        <f t="shared" si="38"/>
        <v>-1.0117392647513128</v>
      </c>
      <c r="E1228" s="136">
        <v>46080</v>
      </c>
      <c r="F1228" s="137">
        <v>82220.479999999996</v>
      </c>
      <c r="G1228" s="139">
        <f t="shared" si="39"/>
        <v>-0.24060050391428134</v>
      </c>
    </row>
    <row r="1229" spans="1:7" ht="16.2" thickBot="1" x14ac:dyDescent="0.35">
      <c r="A1229" s="140">
        <v>46083</v>
      </c>
      <c r="B1229" s="135">
        <v>6403.5</v>
      </c>
      <c r="C1229" s="139">
        <f t="shared" si="38"/>
        <v>-7.8021377857532964E-2</v>
      </c>
      <c r="E1229" s="136">
        <v>46083</v>
      </c>
      <c r="F1229" s="137">
        <v>78543.73</v>
      </c>
      <c r="G1229" s="139">
        <f t="shared" si="39"/>
        <v>-4.4718177271648143</v>
      </c>
    </row>
    <row r="1230" spans="1:7" ht="16.2" thickBot="1" x14ac:dyDescent="0.35">
      <c r="A1230" s="140">
        <v>46085</v>
      </c>
      <c r="B1230" s="135">
        <v>6316</v>
      </c>
      <c r="C1230" s="139">
        <f t="shared" si="38"/>
        <v>-1.3664402280003123</v>
      </c>
      <c r="E1230" s="136">
        <v>46085</v>
      </c>
      <c r="F1230" s="137">
        <v>78528.820000000007</v>
      </c>
      <c r="G1230" s="139">
        <f t="shared" si="39"/>
        <v>-1.8983055681196882E-2</v>
      </c>
    </row>
    <row r="1231" spans="1:7" ht="16.2" thickBot="1" x14ac:dyDescent="0.35">
      <c r="A1231" s="140">
        <v>46086</v>
      </c>
      <c r="B1231" s="135">
        <v>6364.5</v>
      </c>
      <c r="C1231" s="139">
        <f t="shared" si="38"/>
        <v>0.76789107029765669</v>
      </c>
      <c r="E1231" s="136">
        <v>46086</v>
      </c>
      <c r="F1231" s="137">
        <v>79530.48</v>
      </c>
      <c r="G1231" s="139">
        <f t="shared" si="39"/>
        <v>1.2755317092501695</v>
      </c>
    </row>
    <row r="1232" spans="1:7" ht="16.2" thickBot="1" x14ac:dyDescent="0.35">
      <c r="A1232" s="140">
        <v>46087</v>
      </c>
      <c r="B1232" s="135">
        <v>6329</v>
      </c>
      <c r="C1232" s="139">
        <f t="shared" si="38"/>
        <v>-0.557781443946893</v>
      </c>
      <c r="E1232" s="136">
        <v>46087</v>
      </c>
      <c r="F1232" s="137">
        <v>79658.990000000005</v>
      </c>
      <c r="G1232" s="139">
        <f t="shared" si="39"/>
        <v>0.1615858473380386</v>
      </c>
    </row>
    <row r="1233" spans="1:7" ht="16.2" thickBot="1" x14ac:dyDescent="0.35">
      <c r="A1233" s="140">
        <v>46090</v>
      </c>
      <c r="B1233" s="135">
        <v>6330</v>
      </c>
      <c r="C1233" s="139">
        <f t="shared" si="38"/>
        <v>1.5800284405119294E-2</v>
      </c>
      <c r="E1233" s="136">
        <v>46090</v>
      </c>
      <c r="F1233" s="137">
        <v>77056.75</v>
      </c>
      <c r="G1233" s="139">
        <f t="shared" si="39"/>
        <v>-3.2667248228982126</v>
      </c>
    </row>
    <row r="1234" spans="1:7" ht="16.2" thickBot="1" x14ac:dyDescent="0.35">
      <c r="A1234" s="140">
        <v>46091</v>
      </c>
      <c r="B1234" s="135">
        <v>6372</v>
      </c>
      <c r="C1234" s="139">
        <f t="shared" si="38"/>
        <v>0.6635071090047393</v>
      </c>
      <c r="E1234" s="136">
        <v>46091</v>
      </c>
      <c r="F1234" s="137">
        <v>78375.73</v>
      </c>
      <c r="G1234" s="139">
        <f t="shared" si="39"/>
        <v>1.7116994942039419</v>
      </c>
    </row>
    <row r="1235" spans="1:7" ht="16.2" thickBot="1" x14ac:dyDescent="0.35">
      <c r="A1235" s="140">
        <v>46092</v>
      </c>
      <c r="B1235" s="135">
        <v>6352.5</v>
      </c>
      <c r="C1235" s="139">
        <f t="shared" si="38"/>
        <v>-0.30602636534839922</v>
      </c>
      <c r="E1235" s="136">
        <v>46092</v>
      </c>
      <c r="F1235" s="137">
        <v>78238.91</v>
      </c>
      <c r="G1235" s="139">
        <f t="shared" si="39"/>
        <v>-0.17456934691388831</v>
      </c>
    </row>
    <row r="1236" spans="1:7" ht="16.2" thickBot="1" x14ac:dyDescent="0.35">
      <c r="A1236" s="140">
        <v>46093</v>
      </c>
      <c r="B1236" s="135">
        <v>6282</v>
      </c>
      <c r="C1236" s="139">
        <f t="shared" si="38"/>
        <v>-1.1097992916174735</v>
      </c>
      <c r="E1236" s="136">
        <v>46093</v>
      </c>
      <c r="F1236" s="137">
        <v>76369.649999999994</v>
      </c>
      <c r="G1236" s="139">
        <f t="shared" si="39"/>
        <v>-2.3891692765147283</v>
      </c>
    </row>
    <row r="1237" spans="1:7" ht="16.2" thickBot="1" x14ac:dyDescent="0.35">
      <c r="A1237" s="134">
        <v>46094</v>
      </c>
      <c r="B1237" s="135">
        <v>6071</v>
      </c>
      <c r="C1237" s="139">
        <f t="shared" si="38"/>
        <v>-3.3588029290035024</v>
      </c>
      <c r="E1237" s="136">
        <v>46094</v>
      </c>
      <c r="F1237" s="137">
        <v>75444.22</v>
      </c>
      <c r="G1237" s="139">
        <f t="shared" si="39"/>
        <v>-1.2117771915937718</v>
      </c>
    </row>
    <row r="1238" spans="1:7" ht="16.2" thickBot="1" x14ac:dyDescent="0.35">
      <c r="A1238" s="134">
        <v>46097</v>
      </c>
      <c r="B1238" s="135">
        <v>6071</v>
      </c>
      <c r="C1238" s="139">
        <f t="shared" si="38"/>
        <v>0</v>
      </c>
      <c r="E1238" s="136">
        <v>46097</v>
      </c>
      <c r="F1238" s="137">
        <v>74415.789999999994</v>
      </c>
      <c r="G1238" s="139">
        <f t="shared" si="39"/>
        <v>-1.3631660583143514</v>
      </c>
    </row>
    <row r="1239" spans="1:7" ht="16.2" thickBot="1" x14ac:dyDescent="0.35">
      <c r="A1239" s="134">
        <v>46098</v>
      </c>
      <c r="B1239" s="135">
        <v>6086.5</v>
      </c>
      <c r="C1239" s="139">
        <f t="shared" si="38"/>
        <v>0.25531213968044802</v>
      </c>
      <c r="E1239" s="136">
        <v>46098</v>
      </c>
      <c r="F1239" s="137">
        <v>75826.679999999993</v>
      </c>
      <c r="G1239" s="139">
        <f t="shared" si="39"/>
        <v>1.8959551460785402</v>
      </c>
    </row>
    <row r="1240" spans="1:7" ht="16.2" thickBot="1" x14ac:dyDescent="0.35">
      <c r="A1240" s="134">
        <v>46099</v>
      </c>
      <c r="B1240" s="135">
        <v>6140</v>
      </c>
      <c r="C1240" s="139">
        <f t="shared" si="38"/>
        <v>0.87899449601577273</v>
      </c>
      <c r="E1240" s="136">
        <v>46099</v>
      </c>
      <c r="F1240" s="137">
        <v>76367.55</v>
      </c>
      <c r="G1240" s="139">
        <f t="shared" si="39"/>
        <v>0.71329774691442371</v>
      </c>
    </row>
    <row r="1241" spans="1:7" ht="16.2" thickBot="1" x14ac:dyDescent="0.35">
      <c r="A1241" s="134">
        <v>46100</v>
      </c>
      <c r="B1241" s="135">
        <v>5972.5</v>
      </c>
      <c r="C1241" s="139">
        <f t="shared" si="38"/>
        <v>-2.728013029315961</v>
      </c>
      <c r="E1241" s="136">
        <v>46100</v>
      </c>
      <c r="F1241" s="137">
        <v>74750.92</v>
      </c>
      <c r="G1241" s="139">
        <f t="shared" si="39"/>
        <v>-2.1169069847075157</v>
      </c>
    </row>
    <row r="1242" spans="1:7" ht="16.2" thickBot="1" x14ac:dyDescent="0.35">
      <c r="A1242" s="134">
        <v>46101</v>
      </c>
      <c r="B1242" s="135">
        <v>6100</v>
      </c>
      <c r="C1242" s="139">
        <f t="shared" si="38"/>
        <v>2.1347844286312263</v>
      </c>
      <c r="E1242" s="136">
        <v>46101</v>
      </c>
      <c r="F1242" s="137">
        <v>74559.38</v>
      </c>
      <c r="G1242" s="139">
        <f t="shared" si="39"/>
        <v>-0.25623764898143542</v>
      </c>
    </row>
    <row r="1243" spans="1:7" ht="16.2" thickBot="1" x14ac:dyDescent="0.35">
      <c r="A1243" s="134">
        <v>46104</v>
      </c>
      <c r="B1243" s="135">
        <v>6013.5</v>
      </c>
      <c r="C1243" s="139">
        <f t="shared" si="38"/>
        <v>-1.4180327868852458</v>
      </c>
      <c r="E1243" s="136">
        <v>46104</v>
      </c>
      <c r="F1243" s="137">
        <v>73732.58</v>
      </c>
      <c r="G1243" s="139">
        <f t="shared" si="39"/>
        <v>-1.1089148005254374</v>
      </c>
    </row>
    <row r="1244" spans="1:7" ht="16.2" thickBot="1" x14ac:dyDescent="0.35">
      <c r="A1244" s="134">
        <v>46105</v>
      </c>
      <c r="B1244" s="135">
        <v>6026</v>
      </c>
      <c r="C1244" s="145"/>
      <c r="E1244" s="136">
        <v>46105</v>
      </c>
      <c r="F1244" s="137">
        <v>74212.47</v>
      </c>
      <c r="G1244" s="145"/>
    </row>
    <row r="1245" spans="1:7" ht="16.2" thickBot="1" x14ac:dyDescent="0.35">
      <c r="A1245" s="134">
        <v>46106</v>
      </c>
      <c r="B1245" s="135">
        <v>6014.5</v>
      </c>
      <c r="C1245" s="145"/>
      <c r="E1245" s="136">
        <v>46106</v>
      </c>
      <c r="F1245" s="137">
        <v>74652.009999999995</v>
      </c>
      <c r="G1245" s="145"/>
    </row>
    <row r="1246" spans="1:7" ht="16.2" thickBot="1" x14ac:dyDescent="0.35">
      <c r="A1246" s="146"/>
      <c r="B1246" s="146"/>
      <c r="E1246" s="146"/>
      <c r="F1246" s="146"/>
    </row>
    <row r="1247" spans="1:7" ht="16.2" thickBot="1" x14ac:dyDescent="0.35">
      <c r="A1247" s="146"/>
      <c r="B1247" s="146"/>
      <c r="E1247" s="146"/>
      <c r="F1247" s="146"/>
    </row>
  </sheetData>
  <mergeCells count="5">
    <mergeCell ref="A3:C3"/>
    <mergeCell ref="E3:G3"/>
    <mergeCell ref="I3:J3"/>
    <mergeCell ref="I5:J5"/>
    <mergeCell ref="A1:J1"/>
  </mergeCells>
  <hyperlinks>
    <hyperlink ref="L1" location="'Table of Contents'!A1" display="Table of Contents" xr:uid="{EAAB1F74-9B00-4944-9364-00B697482A9C}"/>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BB46-3263-42FB-A0AB-C205AE7E80FA}">
  <dimension ref="A1:L23"/>
  <sheetViews>
    <sheetView zoomScale="110" zoomScaleNormal="110" workbookViewId="0">
      <selection activeCell="D8" sqref="D8"/>
    </sheetView>
  </sheetViews>
  <sheetFormatPr defaultRowHeight="15.6" x14ac:dyDescent="0.3"/>
  <cols>
    <col min="1" max="1" width="18.21875" style="14" customWidth="1"/>
    <col min="2" max="2" width="12.88671875" style="14" customWidth="1"/>
    <col min="3" max="3" width="9.44140625" style="14" bestFit="1" customWidth="1"/>
    <col min="4" max="4" width="28.33203125" style="14" customWidth="1"/>
    <col min="5" max="5" width="9.44140625" style="14" bestFit="1" customWidth="1"/>
    <col min="6" max="16384" width="8.88671875" style="14"/>
  </cols>
  <sheetData>
    <row r="1" spans="1:12" x14ac:dyDescent="0.3">
      <c r="A1" s="41" t="s">
        <v>177</v>
      </c>
      <c r="B1" s="41"/>
      <c r="C1" s="41"/>
      <c r="D1" s="41"/>
      <c r="E1" s="41"/>
      <c r="F1" s="41"/>
      <c r="G1" s="41"/>
      <c r="H1" s="41"/>
      <c r="I1" s="41"/>
      <c r="J1" s="41"/>
      <c r="L1" s="15"/>
    </row>
    <row r="2" spans="1:12" ht="16.2" thickBot="1" x14ac:dyDescent="0.35">
      <c r="A2" s="147" t="s">
        <v>343</v>
      </c>
      <c r="B2" s="147"/>
    </row>
    <row r="3" spans="1:12" ht="16.2" thickBot="1" x14ac:dyDescent="0.35">
      <c r="A3" s="82" t="s">
        <v>344</v>
      </c>
      <c r="B3" s="72">
        <f>'Financial Statements'!F35</f>
        <v>2</v>
      </c>
    </row>
    <row r="4" spans="1:12" ht="16.2" thickBot="1" x14ac:dyDescent="0.35">
      <c r="A4" s="82" t="s">
        <v>61</v>
      </c>
      <c r="B4" s="72">
        <f>'Financial Statements'!F33</f>
        <v>14895</v>
      </c>
    </row>
    <row r="5" spans="1:12" ht="16.2" thickBot="1" x14ac:dyDescent="0.35">
      <c r="A5" s="148" t="s">
        <v>345</v>
      </c>
      <c r="B5" s="68">
        <f>SUM(B3:B4)</f>
        <v>14897</v>
      </c>
    </row>
    <row r="6" spans="1:12" ht="16.2" thickBot="1" x14ac:dyDescent="0.35">
      <c r="A6" s="82" t="s">
        <v>346</v>
      </c>
      <c r="B6" s="89">
        <f>B3/B5</f>
        <v>1.342552191716453E-4</v>
      </c>
    </row>
    <row r="7" spans="1:12" ht="16.2" thickBot="1" x14ac:dyDescent="0.35">
      <c r="A7" s="82" t="s">
        <v>347</v>
      </c>
      <c r="B7" s="89">
        <f>B4/B5</f>
        <v>0.99986574478082835</v>
      </c>
    </row>
    <row r="8" spans="1:12" ht="16.2" thickBot="1" x14ac:dyDescent="0.35">
      <c r="A8" s="68" t="s">
        <v>348</v>
      </c>
      <c r="B8" s="68">
        <f>B3/B4</f>
        <v>1.342732460557234E-4</v>
      </c>
    </row>
    <row r="12" spans="1:12" ht="16.2" thickBot="1" x14ac:dyDescent="0.35">
      <c r="A12" s="147" t="s">
        <v>175</v>
      </c>
      <c r="B12" s="147"/>
      <c r="D12" s="147" t="s">
        <v>176</v>
      </c>
      <c r="E12" s="147"/>
    </row>
    <row r="13" spans="1:12" ht="16.2" thickBot="1" x14ac:dyDescent="0.35">
      <c r="A13" s="82" t="s">
        <v>349</v>
      </c>
      <c r="B13" s="89">
        <v>6.6000000000000003E-2</v>
      </c>
      <c r="D13" s="149" t="s">
        <v>351</v>
      </c>
      <c r="E13" s="150" t="s">
        <v>352</v>
      </c>
    </row>
    <row r="14" spans="1:12" ht="16.2" thickBot="1" x14ac:dyDescent="0.35">
      <c r="A14" s="82" t="s">
        <v>1</v>
      </c>
      <c r="B14" s="72">
        <f>Beta!J6</f>
        <v>0.26619620723823573</v>
      </c>
      <c r="D14" s="82" t="s">
        <v>353</v>
      </c>
      <c r="E14" s="151">
        <f>'Financial Statements'!F17/'Financial Statements'!F35</f>
        <v>1</v>
      </c>
    </row>
    <row r="15" spans="1:12" ht="16.2" thickBot="1" x14ac:dyDescent="0.35">
      <c r="A15" s="82" t="s">
        <v>174</v>
      </c>
      <c r="B15" s="89">
        <v>7.0800000000000002E-2</v>
      </c>
      <c r="D15" s="82" t="s">
        <v>169</v>
      </c>
      <c r="E15" s="151">
        <f>Assumptions!G27</f>
        <v>0.25168000000000001</v>
      </c>
    </row>
    <row r="16" spans="1:12" ht="16.2" thickBot="1" x14ac:dyDescent="0.35">
      <c r="A16" s="152" t="s">
        <v>350</v>
      </c>
      <c r="B16" s="152">
        <f>B13+B14*B15</f>
        <v>8.4846691472467095E-2</v>
      </c>
      <c r="D16" s="68" t="s">
        <v>354</v>
      </c>
      <c r="E16" s="152">
        <f>E14*(1+E15)</f>
        <v>1.2516799999999999</v>
      </c>
    </row>
    <row r="19" spans="1:4" ht="16.2" thickBot="1" x14ac:dyDescent="0.35">
      <c r="A19" s="147" t="s">
        <v>179</v>
      </c>
      <c r="B19" s="147"/>
      <c r="C19" s="147"/>
      <c r="D19" s="147"/>
    </row>
    <row r="20" spans="1:4" ht="16.2" thickBot="1" x14ac:dyDescent="0.35">
      <c r="A20" s="153" t="s">
        <v>351</v>
      </c>
      <c r="B20" s="151" t="s">
        <v>355</v>
      </c>
      <c r="C20" s="151" t="s">
        <v>352</v>
      </c>
      <c r="D20" s="151" t="s">
        <v>356</v>
      </c>
    </row>
    <row r="21" spans="1:4" ht="16.2" thickBot="1" x14ac:dyDescent="0.35">
      <c r="A21" s="154" t="s">
        <v>357</v>
      </c>
      <c r="B21" s="151">
        <f>B6</f>
        <v>1.342552191716453E-4</v>
      </c>
      <c r="C21" s="151">
        <f>E16</f>
        <v>1.2516799999999999</v>
      </c>
      <c r="D21" s="151">
        <f t="shared" ref="D21:D22" si="0">B21*C21</f>
        <v>1.6804457273276497E-4</v>
      </c>
    </row>
    <row r="22" spans="1:4" ht="16.2" thickBot="1" x14ac:dyDescent="0.35">
      <c r="A22" s="154" t="s">
        <v>178</v>
      </c>
      <c r="B22" s="151">
        <f>B7</f>
        <v>0.99986574478082835</v>
      </c>
      <c r="C22" s="151">
        <f>B16</f>
        <v>8.4846691472467095E-2</v>
      </c>
      <c r="D22" s="151">
        <f t="shared" si="0"/>
        <v>8.4835300361307472E-2</v>
      </c>
    </row>
    <row r="23" spans="1:4" ht="16.2" thickBot="1" x14ac:dyDescent="0.35">
      <c r="A23" s="152" t="s">
        <v>179</v>
      </c>
      <c r="B23" s="152"/>
      <c r="C23" s="68"/>
      <c r="D23" s="155">
        <f>SUM(D21:D22)</f>
        <v>8.5003344934040242E-2</v>
      </c>
    </row>
  </sheetData>
  <mergeCells count="5">
    <mergeCell ref="A2:B2"/>
    <mergeCell ref="A12:B12"/>
    <mergeCell ref="D12:E12"/>
    <mergeCell ref="A19:D19"/>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4284-7DC1-49C7-88DD-E4A9279C4567}">
  <dimension ref="A1:L38"/>
  <sheetViews>
    <sheetView topLeftCell="A14" zoomScale="72" workbookViewId="0">
      <selection activeCell="F8" sqref="F8"/>
    </sheetView>
  </sheetViews>
  <sheetFormatPr defaultRowHeight="15.6" x14ac:dyDescent="0.3"/>
  <cols>
    <col min="1" max="1" width="30.21875" style="14" customWidth="1"/>
    <col min="2" max="2" width="22.6640625" style="14" customWidth="1"/>
    <col min="3" max="3" width="13.44140625" style="14" customWidth="1"/>
    <col min="4" max="4" width="13.77734375" style="14" customWidth="1"/>
    <col min="5" max="5" width="12.6640625" style="14" customWidth="1"/>
    <col min="6" max="6" width="16.5546875" style="14" customWidth="1"/>
    <col min="7" max="7" width="17.21875" style="14" customWidth="1"/>
    <col min="8" max="9" width="9.88671875" style="14" bestFit="1" customWidth="1"/>
    <col min="10" max="10" width="24" style="14" customWidth="1"/>
    <col min="11" max="11" width="15.5546875" style="14" customWidth="1"/>
    <col min="12" max="13" width="8.88671875" style="14"/>
    <col min="14" max="14" width="11.88671875" style="14" customWidth="1"/>
    <col min="15" max="16384" width="8.88671875" style="14"/>
  </cols>
  <sheetData>
    <row r="1" spans="1:12" x14ac:dyDescent="0.3">
      <c r="A1" s="41" t="s">
        <v>358</v>
      </c>
      <c r="B1" s="41"/>
      <c r="C1" s="41"/>
      <c r="D1" s="41"/>
      <c r="E1" s="41"/>
      <c r="F1" s="41"/>
      <c r="G1" s="41"/>
      <c r="H1" s="41"/>
      <c r="I1" s="41"/>
      <c r="J1" s="41"/>
      <c r="L1" s="15"/>
    </row>
    <row r="3" spans="1:12" ht="16.2" thickBot="1" x14ac:dyDescent="0.35">
      <c r="A3" s="156" t="s">
        <v>359</v>
      </c>
      <c r="B3" s="156"/>
    </row>
    <row r="4" spans="1:12" ht="16.2" thickBot="1" x14ac:dyDescent="0.35">
      <c r="A4" s="157" t="s">
        <v>210</v>
      </c>
      <c r="B4" s="158">
        <f>Sources!C4</f>
        <v>0.246</v>
      </c>
    </row>
    <row r="5" spans="1:12" ht="16.2" thickBot="1" x14ac:dyDescent="0.35">
      <c r="A5" s="157" t="s">
        <v>360</v>
      </c>
      <c r="B5" s="158">
        <f>WACC!D23</f>
        <v>8.5003344934040242E-2</v>
      </c>
    </row>
    <row r="6" spans="1:12" ht="16.2" thickBot="1" x14ac:dyDescent="0.35">
      <c r="A6" s="157" t="s">
        <v>361</v>
      </c>
      <c r="B6" s="158">
        <f>Sources!C8</f>
        <v>8.2500000000000004E-2</v>
      </c>
    </row>
    <row r="7" spans="1:12" ht="16.2" thickBot="1" x14ac:dyDescent="0.35">
      <c r="A7" s="157" t="s">
        <v>362</v>
      </c>
      <c r="B7" s="159">
        <v>44933</v>
      </c>
    </row>
    <row r="8" spans="1:12" ht="16.2" thickBot="1" x14ac:dyDescent="0.35">
      <c r="A8" s="157" t="s">
        <v>363</v>
      </c>
      <c r="B8" s="160">
        <v>44651</v>
      </c>
    </row>
    <row r="9" spans="1:12" ht="16.2" thickBot="1" x14ac:dyDescent="0.35">
      <c r="A9" s="157" t="s">
        <v>364</v>
      </c>
      <c r="B9" s="161">
        <v>115.6</v>
      </c>
    </row>
    <row r="10" spans="1:12" ht="16.2" thickBot="1" x14ac:dyDescent="0.35">
      <c r="A10" s="157" t="s">
        <v>365</v>
      </c>
      <c r="B10" s="162">
        <f>'Financial Statements'!F31</f>
        <v>53</v>
      </c>
    </row>
    <row r="11" spans="1:12" ht="16.2" thickBot="1" x14ac:dyDescent="0.35">
      <c r="A11" s="157" t="s">
        <v>366</v>
      </c>
      <c r="B11" s="163">
        <f>WACC!B3</f>
        <v>2</v>
      </c>
    </row>
    <row r="12" spans="1:12" ht="16.2" thickBot="1" x14ac:dyDescent="0.35">
      <c r="A12" s="157" t="s">
        <v>367</v>
      </c>
      <c r="B12" s="161">
        <f>'Financial Statements'!F57</f>
        <v>3696</v>
      </c>
    </row>
    <row r="14" spans="1:12" ht="16.2" thickBot="1" x14ac:dyDescent="0.35">
      <c r="A14" s="147" t="s">
        <v>369</v>
      </c>
      <c r="B14" s="147"/>
      <c r="C14" s="147"/>
      <c r="D14" s="147"/>
      <c r="E14" s="147"/>
      <c r="F14" s="147"/>
      <c r="G14" s="147"/>
      <c r="J14" s="147"/>
      <c r="K14" s="147"/>
    </row>
    <row r="15" spans="1:12" ht="31.8" thickBot="1" x14ac:dyDescent="0.35">
      <c r="A15" s="164" t="s">
        <v>370</v>
      </c>
      <c r="B15" s="164">
        <v>1</v>
      </c>
      <c r="C15" s="164">
        <v>2</v>
      </c>
      <c r="D15" s="164">
        <v>3</v>
      </c>
      <c r="E15" s="164">
        <v>4</v>
      </c>
      <c r="F15" s="164">
        <v>5</v>
      </c>
      <c r="G15" s="164" t="s">
        <v>371</v>
      </c>
      <c r="J15" s="147" t="s">
        <v>383</v>
      </c>
      <c r="K15" s="147"/>
    </row>
    <row r="16" spans="1:12" ht="16.2" thickBot="1" x14ac:dyDescent="0.35">
      <c r="A16" s="164" t="s">
        <v>184</v>
      </c>
      <c r="B16" s="164" t="s">
        <v>372</v>
      </c>
      <c r="C16" s="164" t="s">
        <v>373</v>
      </c>
      <c r="D16" s="164" t="s">
        <v>374</v>
      </c>
      <c r="E16" s="164" t="s">
        <v>381</v>
      </c>
      <c r="F16" s="164" t="s">
        <v>382</v>
      </c>
      <c r="G16" s="164" t="s">
        <v>181</v>
      </c>
      <c r="J16" s="165" t="s">
        <v>384</v>
      </c>
      <c r="K16" s="166">
        <f>SUM(B27:F27)</f>
        <v>26896.830321585483</v>
      </c>
    </row>
    <row r="17" spans="1:12" ht="16.2" thickBot="1" x14ac:dyDescent="0.35">
      <c r="A17" s="165" t="s">
        <v>168</v>
      </c>
      <c r="B17" s="167">
        <f>'Financial Statements'!G16</f>
        <v>7466.0866349772532</v>
      </c>
      <c r="C17" s="167">
        <f>'Financial Statements'!H16</f>
        <v>8315.8683905502403</v>
      </c>
      <c r="D17" s="167">
        <f>'Financial Statements'!I16</f>
        <v>9196.1078524098975</v>
      </c>
      <c r="E17" s="167">
        <f>'Financial Statements'!J16</f>
        <v>10251.276841554914</v>
      </c>
      <c r="F17" s="167">
        <f>'Financial Statements'!K16</f>
        <v>11453.837573431347</v>
      </c>
      <c r="G17" s="63"/>
      <c r="J17" s="165" t="s">
        <v>385</v>
      </c>
      <c r="K17" s="166">
        <f>G23</f>
        <v>3615256.9483492714</v>
      </c>
    </row>
    <row r="18" spans="1:12" ht="16.2" thickBot="1" x14ac:dyDescent="0.35">
      <c r="A18" s="165" t="s">
        <v>210</v>
      </c>
      <c r="B18" s="168">
        <f>$B$4</f>
        <v>0.246</v>
      </c>
      <c r="C18" s="168">
        <f t="shared" ref="C18:F18" si="0">$B$4</f>
        <v>0.246</v>
      </c>
      <c r="D18" s="168">
        <f t="shared" si="0"/>
        <v>0.246</v>
      </c>
      <c r="E18" s="168">
        <f t="shared" si="0"/>
        <v>0.246</v>
      </c>
      <c r="F18" s="168">
        <f t="shared" si="0"/>
        <v>0.246</v>
      </c>
      <c r="G18" s="63"/>
      <c r="J18" s="165" t="s">
        <v>386</v>
      </c>
      <c r="K18" s="166">
        <f>G27</f>
        <v>2404273.0267543728</v>
      </c>
    </row>
    <row r="19" spans="1:12" ht="16.2" thickBot="1" x14ac:dyDescent="0.35">
      <c r="A19" s="165" t="s">
        <v>173</v>
      </c>
      <c r="B19" s="63">
        <f>B17*(1-B18)</f>
        <v>5629.4293227728485</v>
      </c>
      <c r="C19" s="63">
        <f t="shared" ref="C19:F19" si="1">C17*(1-C18)</f>
        <v>6270.1647664748816</v>
      </c>
      <c r="D19" s="63">
        <f t="shared" si="1"/>
        <v>6933.8653207170628</v>
      </c>
      <c r="E19" s="63">
        <f t="shared" si="1"/>
        <v>7729.4627385324056</v>
      </c>
      <c r="F19" s="63">
        <f t="shared" si="1"/>
        <v>8636.1935303672362</v>
      </c>
      <c r="G19" s="63"/>
      <c r="J19" s="165" t="s">
        <v>387</v>
      </c>
      <c r="K19" s="169">
        <f>K16+K18</f>
        <v>2431169.857075958</v>
      </c>
    </row>
    <row r="20" spans="1:12" ht="16.2" thickBot="1" x14ac:dyDescent="0.35">
      <c r="A20" s="165" t="s">
        <v>375</v>
      </c>
      <c r="B20" s="63">
        <f>'Financial Statements'!G15</f>
        <v>446.69800165199348</v>
      </c>
      <c r="C20" s="63">
        <f>'Financial Statements'!H15</f>
        <v>493.46752817393485</v>
      </c>
      <c r="D20" s="63">
        <f>'Financial Statements'!I15</f>
        <v>545.19100597732108</v>
      </c>
      <c r="E20" s="63">
        <f>'Financial Statements'!J15</f>
        <v>595.92882165329229</v>
      </c>
      <c r="F20" s="63">
        <f>'Financial Statements'!K15</f>
        <v>658.35324330725996</v>
      </c>
      <c r="G20" s="63"/>
      <c r="J20" s="165" t="s">
        <v>388</v>
      </c>
      <c r="K20" s="166">
        <f>B11</f>
        <v>2</v>
      </c>
    </row>
    <row r="21" spans="1:12" ht="16.2" thickBot="1" x14ac:dyDescent="0.35">
      <c r="A21" s="165" t="s">
        <v>376</v>
      </c>
      <c r="B21" s="63">
        <f>'PPE '!G6</f>
        <v>1041.262780000216</v>
      </c>
      <c r="C21" s="63">
        <f>'PPE '!H6</f>
        <v>1083.4339892596222</v>
      </c>
      <c r="D21" s="63">
        <f>'PPE '!I6</f>
        <v>1179.6322344414727</v>
      </c>
      <c r="E21" s="63">
        <f>'PPE '!J6</f>
        <v>1301.4080031312467</v>
      </c>
      <c r="F21" s="63">
        <f>'PPE '!K6</f>
        <v>1575.1968101535913</v>
      </c>
      <c r="G21" s="63"/>
      <c r="J21" s="165" t="s">
        <v>389</v>
      </c>
      <c r="K21" s="166">
        <f>B12</f>
        <v>3696</v>
      </c>
    </row>
    <row r="22" spans="1:12" ht="16.2" thickBot="1" x14ac:dyDescent="0.35">
      <c r="A22" s="165" t="s">
        <v>377</v>
      </c>
      <c r="B22" s="63">
        <f>'Financial Statements'!G76</f>
        <v>-368.16126163507136</v>
      </c>
      <c r="C22" s="63">
        <f>'Financial Statements'!H76</f>
        <v>-661.30441868778883</v>
      </c>
      <c r="D22" s="63">
        <f>'Financial Statements'!I76</f>
        <v>-634.32756131339102</v>
      </c>
      <c r="E22" s="63">
        <f>'Financial Statements'!J76</f>
        <v>-656.32616440399124</v>
      </c>
      <c r="F22" s="63">
        <f>'Financial Statements'!K76</f>
        <v>-641.14441699080135</v>
      </c>
      <c r="G22" s="63"/>
      <c r="J22" s="165" t="s">
        <v>390</v>
      </c>
      <c r="K22" s="169">
        <f>K19-K20+K21</f>
        <v>2434863.857075958</v>
      </c>
    </row>
    <row r="23" spans="1:12" ht="16.2" thickBot="1" x14ac:dyDescent="0.35">
      <c r="A23" s="68" t="s">
        <v>378</v>
      </c>
      <c r="B23" s="169">
        <f>B19+B20-B21-B22</f>
        <v>5403.025806059698</v>
      </c>
      <c r="C23" s="169">
        <f t="shared" ref="C23:F23" si="2">C19+C20-C21-C22</f>
        <v>6341.5027240769832</v>
      </c>
      <c r="D23" s="169">
        <f t="shared" si="2"/>
        <v>6933.7516535663017</v>
      </c>
      <c r="E23" s="169">
        <f t="shared" si="2"/>
        <v>7680.3097214584413</v>
      </c>
      <c r="F23" s="169">
        <f t="shared" si="2"/>
        <v>8360.4943805117055</v>
      </c>
      <c r="G23" s="169">
        <f>F23*(1+G25)/(G24-G25)</f>
        <v>3615256.9483492714</v>
      </c>
      <c r="J23" s="165" t="s">
        <v>391</v>
      </c>
      <c r="K23" s="166">
        <f>B10</f>
        <v>53</v>
      </c>
    </row>
    <row r="24" spans="1:12" ht="16.2" thickBot="1" x14ac:dyDescent="0.35">
      <c r="A24" s="165" t="s">
        <v>179</v>
      </c>
      <c r="B24" s="158">
        <f>$B$5</f>
        <v>8.5003344934040242E-2</v>
      </c>
      <c r="C24" s="158">
        <f t="shared" ref="C24:G24" si="3">$B$5</f>
        <v>8.5003344934040242E-2</v>
      </c>
      <c r="D24" s="158">
        <f t="shared" si="3"/>
        <v>8.5003344934040242E-2</v>
      </c>
      <c r="E24" s="158">
        <f t="shared" si="3"/>
        <v>8.5003344934040242E-2</v>
      </c>
      <c r="F24" s="158">
        <f t="shared" si="3"/>
        <v>8.5003344934040242E-2</v>
      </c>
      <c r="G24" s="158">
        <f t="shared" si="3"/>
        <v>8.5003344934040242E-2</v>
      </c>
      <c r="J24" s="165" t="s">
        <v>392</v>
      </c>
      <c r="K24" s="169">
        <f>K22/K23</f>
        <v>45940.827491999211</v>
      </c>
      <c r="L24" s="170"/>
    </row>
    <row r="25" spans="1:12" ht="16.2" thickBot="1" x14ac:dyDescent="0.35">
      <c r="A25" s="165" t="s">
        <v>180</v>
      </c>
      <c r="B25" s="62"/>
      <c r="C25" s="158"/>
      <c r="D25" s="158"/>
      <c r="E25" s="158"/>
      <c r="F25" s="158"/>
      <c r="G25" s="158">
        <f>B6</f>
        <v>8.2500000000000004E-2</v>
      </c>
      <c r="J25" s="165" t="s">
        <v>393</v>
      </c>
      <c r="K25" s="169">
        <f>B9</f>
        <v>115.6</v>
      </c>
    </row>
    <row r="26" spans="1:12" ht="16.2" thickBot="1" x14ac:dyDescent="0.35">
      <c r="A26" s="165" t="s">
        <v>379</v>
      </c>
      <c r="B26" s="171">
        <f>1/(1+B24)^B15</f>
        <v>0.92165614481197045</v>
      </c>
      <c r="C26" s="171">
        <f>1/(1+C24)^C15</f>
        <v>0.84945004926966383</v>
      </c>
      <c r="D26" s="171">
        <f>1/(1+D24)^D15</f>
        <v>0.78290085762021666</v>
      </c>
      <c r="E26" s="171">
        <f>1/(1+E24)^E15</f>
        <v>0.72156538620423427</v>
      </c>
      <c r="F26" s="171">
        <f>1/(1+F24)^F15</f>
        <v>0.66503517207875507</v>
      </c>
      <c r="G26" s="171">
        <f>1/(1+G24)^F15</f>
        <v>0.66503517207875507</v>
      </c>
      <c r="J26" s="165" t="s">
        <v>394</v>
      </c>
      <c r="K26" s="166">
        <f>K23</f>
        <v>53</v>
      </c>
    </row>
    <row r="27" spans="1:12" ht="16.2" thickBot="1" x14ac:dyDescent="0.35">
      <c r="A27" s="68" t="s">
        <v>380</v>
      </c>
      <c r="B27" s="172">
        <f>B23*B26</f>
        <v>4979.7319347325702</v>
      </c>
      <c r="C27" s="172">
        <f t="shared" ref="C27:G27" si="4">C23*C26</f>
        <v>5386.7898014109005</v>
      </c>
      <c r="D27" s="172">
        <f t="shared" si="4"/>
        <v>5428.4401161026526</v>
      </c>
      <c r="E27" s="172">
        <f t="shared" si="4"/>
        <v>5541.845650332295</v>
      </c>
      <c r="F27" s="172">
        <f t="shared" si="4"/>
        <v>5560.0228190070666</v>
      </c>
      <c r="G27" s="172">
        <f t="shared" si="4"/>
        <v>2404273.0267543728</v>
      </c>
      <c r="J27" s="165" t="s">
        <v>395</v>
      </c>
      <c r="K27" s="169">
        <f>K25*K26</f>
        <v>6126.7999999999993</v>
      </c>
    </row>
    <row r="30" spans="1:12" ht="16.05" customHeight="1" thickBot="1" x14ac:dyDescent="0.35">
      <c r="A30" s="147" t="s">
        <v>412</v>
      </c>
      <c r="B30" s="147"/>
    </row>
    <row r="31" spans="1:12" ht="17.55" customHeight="1" thickBot="1" x14ac:dyDescent="0.35">
      <c r="A31" s="82" t="s">
        <v>413</v>
      </c>
      <c r="B31" s="173">
        <f>B9</f>
        <v>115.6</v>
      </c>
      <c r="E31" s="147" t="s">
        <v>468</v>
      </c>
      <c r="F31" s="147"/>
      <c r="G31" s="147"/>
      <c r="H31" s="147"/>
      <c r="I31" s="147"/>
      <c r="J31" s="147"/>
    </row>
    <row r="32" spans="1:12" ht="17.55" customHeight="1" thickBot="1" x14ac:dyDescent="0.35">
      <c r="A32" s="108" t="s">
        <v>414</v>
      </c>
      <c r="B32" s="173">
        <f>B33-B31</f>
        <v>45825.227491999212</v>
      </c>
      <c r="E32" s="174"/>
      <c r="F32" s="174"/>
      <c r="G32" s="175" t="s">
        <v>179</v>
      </c>
      <c r="H32" s="175"/>
      <c r="I32" s="175"/>
      <c r="J32" s="175"/>
    </row>
    <row r="33" spans="1:10" ht="17.55" customHeight="1" thickBot="1" x14ac:dyDescent="0.35">
      <c r="A33" s="82" t="s">
        <v>415</v>
      </c>
      <c r="B33" s="173">
        <f>K24</f>
        <v>45940.827491999211</v>
      </c>
      <c r="E33" s="176"/>
      <c r="F33" s="177">
        <f>K24</f>
        <v>45940.827491999211</v>
      </c>
      <c r="G33" s="155">
        <v>0.15679999999999999</v>
      </c>
      <c r="H33" s="155">
        <f>G33+0.01</f>
        <v>0.1668</v>
      </c>
      <c r="I33" s="155">
        <f t="shared" ref="I33:J33" si="5">H33+0.01</f>
        <v>0.17680000000000001</v>
      </c>
      <c r="J33" s="155">
        <f t="shared" si="5"/>
        <v>0.18680000000000002</v>
      </c>
    </row>
    <row r="34" spans="1:10" ht="18" customHeight="1" thickBot="1" x14ac:dyDescent="0.35">
      <c r="A34" s="82" t="s">
        <v>416</v>
      </c>
      <c r="B34" s="178">
        <f>B32/B31</f>
        <v>396.41200252594479</v>
      </c>
      <c r="E34" s="179" t="s">
        <v>467</v>
      </c>
      <c r="F34" s="180">
        <v>0.03</v>
      </c>
      <c r="G34" s="173">
        <f t="dataTable" ref="G34:J38" dt2D="1" dtr="1" r1="G24" r2="G25"/>
        <v>1195.7466581598378</v>
      </c>
      <c r="H34" s="173">
        <v>1126.3786316389924</v>
      </c>
      <c r="I34" s="173">
        <v>1067.589428492525</v>
      </c>
      <c r="J34" s="173">
        <v>1017.2937867212407</v>
      </c>
    </row>
    <row r="35" spans="1:10" ht="16.2" thickBot="1" x14ac:dyDescent="0.35">
      <c r="A35" s="82" t="s">
        <v>417</v>
      </c>
      <c r="B35" s="173" t="s">
        <v>418</v>
      </c>
      <c r="E35" s="179"/>
      <c r="F35" s="180">
        <v>0.04</v>
      </c>
      <c r="G35" s="173">
        <v>1255.2252767826487</v>
      </c>
      <c r="H35" s="173">
        <v>1175.4428694831079</v>
      </c>
      <c r="I35" s="173">
        <v>1108.5469150944139</v>
      </c>
      <c r="J35" s="173">
        <v>1051.8378821861993</v>
      </c>
    </row>
    <row r="36" spans="1:10" ht="18" customHeight="1" thickBot="1" x14ac:dyDescent="0.35">
      <c r="A36" s="82" t="s">
        <v>419</v>
      </c>
      <c r="B36" s="173" t="s">
        <v>420</v>
      </c>
      <c r="E36" s="179"/>
      <c r="F36" s="180">
        <v>0.05</v>
      </c>
      <c r="G36" s="173">
        <v>1325.842213499619</v>
      </c>
      <c r="H36" s="173">
        <v>1232.9085179169688</v>
      </c>
      <c r="I36" s="173">
        <v>1155.9645730846128</v>
      </c>
      <c r="J36" s="173">
        <v>1091.4322840056839</v>
      </c>
    </row>
    <row r="37" spans="1:10" ht="18" customHeight="1" thickBot="1" x14ac:dyDescent="0.35">
      <c r="E37" s="179"/>
      <c r="F37" s="180">
        <v>0.06</v>
      </c>
      <c r="G37" s="173">
        <v>1411.0494263977814</v>
      </c>
      <c r="H37" s="173">
        <v>1301.1355237354478</v>
      </c>
      <c r="I37" s="173">
        <v>1211.5016930594354</v>
      </c>
      <c r="J37" s="173">
        <v>1137.2718596137311</v>
      </c>
    </row>
    <row r="38" spans="1:10" ht="19.95" customHeight="1" thickBot="1" x14ac:dyDescent="0.35">
      <c r="E38" s="179"/>
      <c r="F38" s="180">
        <v>7.0199999999999999E-2</v>
      </c>
      <c r="G38" s="173">
        <v>1518.2334095880151</v>
      </c>
      <c r="H38" s="173">
        <v>1385.2793391100888</v>
      </c>
      <c r="I38" s="173">
        <v>1278.8839533696007</v>
      </c>
      <c r="J38" s="173">
        <v>1192.1283863894123</v>
      </c>
    </row>
  </sheetData>
  <scenarios current="0">
    <scenario name="WACC" locked="1" count="1" user="Anshul Garg" comment="Created by Anshul Garg on 08-01-2023">
      <inputCells r="G24" val="0.156789625998191"/>
    </scenario>
    <scenario name="Growth" locked="1" count="1" user="Anshul Garg" comment="Created by Anshul Garg on 08-01-2023">
      <inputCells r="G25" val="0.0702"/>
    </scenario>
  </scenarios>
  <mergeCells count="9">
    <mergeCell ref="A1:J1"/>
    <mergeCell ref="E31:J31"/>
    <mergeCell ref="G32:J32"/>
    <mergeCell ref="E34:E38"/>
    <mergeCell ref="A3:B3"/>
    <mergeCell ref="A14:G14"/>
    <mergeCell ref="J14:K14"/>
    <mergeCell ref="J15:K15"/>
    <mergeCell ref="A30:B3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6FD1-913C-4535-A138-0883D8D0A63E}">
  <dimension ref="A2:O11"/>
  <sheetViews>
    <sheetView workbookViewId="0">
      <selection activeCell="J21" sqref="J21"/>
    </sheetView>
  </sheetViews>
  <sheetFormatPr defaultRowHeight="15.6" x14ac:dyDescent="0.3"/>
  <cols>
    <col min="1" max="1" width="20.77734375" style="14" customWidth="1"/>
    <col min="2" max="2" width="9.77734375" style="14" customWidth="1"/>
    <col min="3" max="3" width="17.21875" style="14" customWidth="1"/>
    <col min="4" max="4" width="16.21875" style="14" customWidth="1"/>
    <col min="5" max="5" width="20.44140625" style="14" customWidth="1"/>
    <col min="6" max="6" width="13.5546875" style="14" customWidth="1"/>
    <col min="7" max="7" width="14.5546875" style="14" customWidth="1"/>
    <col min="8" max="8" width="11.21875" style="14" customWidth="1"/>
    <col min="9" max="11" width="8.88671875" style="14"/>
    <col min="12" max="12" width="11.5546875" style="14" customWidth="1"/>
    <col min="13" max="16384" width="8.88671875" style="14"/>
  </cols>
  <sheetData>
    <row r="2" spans="1:15" x14ac:dyDescent="0.3">
      <c r="A2" s="181" t="s">
        <v>469</v>
      </c>
      <c r="B2" s="181"/>
      <c r="C2" s="181"/>
      <c r="D2" s="181"/>
      <c r="E2" s="181"/>
      <c r="F2" s="181"/>
      <c r="G2" s="181"/>
      <c r="H2" s="181"/>
      <c r="I2" s="181"/>
      <c r="J2" s="181"/>
      <c r="K2" s="181"/>
      <c r="L2" s="181"/>
      <c r="M2" s="181"/>
      <c r="O2" s="15"/>
    </row>
    <row r="3" spans="1:15" ht="18" customHeight="1" x14ac:dyDescent="0.3">
      <c r="A3" s="182"/>
      <c r="B3" s="183"/>
      <c r="C3" s="183"/>
      <c r="D3" s="183"/>
      <c r="E3" s="183"/>
      <c r="F3" s="183"/>
      <c r="G3" s="183"/>
      <c r="H3" s="183"/>
      <c r="I3" s="183"/>
      <c r="J3" s="183"/>
      <c r="K3" s="183"/>
      <c r="L3" s="183"/>
      <c r="M3" s="184"/>
    </row>
    <row r="4" spans="1:15" ht="16.2" thickBot="1" x14ac:dyDescent="0.35">
      <c r="A4" s="98" t="s">
        <v>470</v>
      </c>
      <c r="B4" s="147" t="s">
        <v>471</v>
      </c>
      <c r="C4" s="147"/>
      <c r="D4" s="147"/>
      <c r="E4" s="147"/>
      <c r="F4" s="147" t="s">
        <v>472</v>
      </c>
      <c r="G4" s="147"/>
      <c r="H4" s="147"/>
      <c r="I4" s="147"/>
      <c r="J4" s="147" t="s">
        <v>473</v>
      </c>
      <c r="K4" s="147"/>
      <c r="L4" s="147"/>
      <c r="M4" s="147"/>
    </row>
    <row r="5" spans="1:15" ht="16.2" thickBot="1" x14ac:dyDescent="0.35">
      <c r="A5" s="174"/>
      <c r="B5" s="174" t="s">
        <v>474</v>
      </c>
      <c r="C5" s="174" t="s">
        <v>475</v>
      </c>
      <c r="D5" s="174" t="s">
        <v>476</v>
      </c>
      <c r="E5" s="174" t="s">
        <v>477</v>
      </c>
      <c r="F5" s="185" t="s">
        <v>478</v>
      </c>
      <c r="G5" s="174" t="s">
        <v>479</v>
      </c>
      <c r="H5" s="174" t="s">
        <v>480</v>
      </c>
      <c r="I5" s="174" t="s">
        <v>282</v>
      </c>
      <c r="J5" s="174" t="s">
        <v>481</v>
      </c>
      <c r="K5" s="174" t="s">
        <v>457</v>
      </c>
      <c r="L5" s="174" t="s">
        <v>482</v>
      </c>
      <c r="M5" s="174" t="s">
        <v>483</v>
      </c>
    </row>
    <row r="6" spans="1:15" ht="16.2" thickBot="1" x14ac:dyDescent="0.35">
      <c r="A6" s="174" t="s">
        <v>528</v>
      </c>
      <c r="B6" s="186">
        <v>1700</v>
      </c>
      <c r="C6" s="186">
        <v>240</v>
      </c>
      <c r="D6" s="186">
        <f>B6*C6</f>
        <v>408000</v>
      </c>
      <c r="E6" s="186">
        <v>410000</v>
      </c>
      <c r="F6" s="186">
        <v>52578</v>
      </c>
      <c r="G6" s="186">
        <v>15272</v>
      </c>
      <c r="H6" s="186">
        <v>12000</v>
      </c>
      <c r="I6" s="186">
        <v>45.5</v>
      </c>
      <c r="J6" s="187">
        <f>B6/I6</f>
        <v>37.362637362637365</v>
      </c>
      <c r="K6" s="187">
        <f>E6/F6</f>
        <v>7.7979383011906123</v>
      </c>
      <c r="L6" s="187">
        <f>E6/G6</f>
        <v>26.84651650078575</v>
      </c>
      <c r="M6" s="187">
        <f>E6/H6</f>
        <v>34.166666666666664</v>
      </c>
    </row>
    <row r="7" spans="1:15" ht="16.2" thickBot="1" x14ac:dyDescent="0.35">
      <c r="A7" s="174" t="s">
        <v>529</v>
      </c>
      <c r="B7" s="186">
        <v>1200</v>
      </c>
      <c r="C7" s="186">
        <v>83</v>
      </c>
      <c r="D7" s="186">
        <f t="shared" ref="D7:D9" si="0">B7*C7</f>
        <v>99600</v>
      </c>
      <c r="E7" s="186">
        <v>100000</v>
      </c>
      <c r="F7" s="186">
        <v>32554</v>
      </c>
      <c r="G7" s="186">
        <v>9213</v>
      </c>
      <c r="H7" s="186">
        <v>6500</v>
      </c>
      <c r="I7" s="186">
        <v>68.099999999999994</v>
      </c>
      <c r="J7" s="187">
        <f>B7/I7</f>
        <v>17.621145374449341</v>
      </c>
      <c r="K7" s="187">
        <f>E7/F7</f>
        <v>3.0718191312895495</v>
      </c>
      <c r="L7" s="187">
        <f>E7/G7</f>
        <v>10.854227721697601</v>
      </c>
      <c r="M7" s="187">
        <f t="shared" ref="M7:M9" si="1">E7/H7</f>
        <v>15.384615384615385</v>
      </c>
    </row>
    <row r="8" spans="1:15" ht="16.2" thickBot="1" x14ac:dyDescent="0.35">
      <c r="A8" s="174" t="s">
        <v>530</v>
      </c>
      <c r="B8" s="186">
        <v>1450</v>
      </c>
      <c r="C8" s="186">
        <v>807</v>
      </c>
      <c r="D8" s="186">
        <f t="shared" si="0"/>
        <v>1170150</v>
      </c>
      <c r="E8" s="186">
        <v>115000</v>
      </c>
      <c r="F8" s="186">
        <v>27548</v>
      </c>
      <c r="G8" s="186">
        <v>7128</v>
      </c>
      <c r="H8" s="186">
        <v>5500</v>
      </c>
      <c r="I8" s="186">
        <v>65.400000000000006</v>
      </c>
      <c r="J8" s="187">
        <f>B8/I8</f>
        <v>22.171253822629968</v>
      </c>
      <c r="K8" s="187">
        <f t="shared" ref="K8:K9" si="2">E8/F8</f>
        <v>4.1745317264411206</v>
      </c>
      <c r="L8" s="187">
        <f t="shared" ref="L8:L9" si="3">E8/G8</f>
        <v>16.133557800224466</v>
      </c>
      <c r="M8" s="187">
        <f t="shared" si="1"/>
        <v>20.90909090909091</v>
      </c>
    </row>
    <row r="9" spans="1:15" ht="16.2" thickBot="1" x14ac:dyDescent="0.35">
      <c r="A9" s="174" t="s">
        <v>531</v>
      </c>
      <c r="B9" s="186">
        <v>900</v>
      </c>
      <c r="C9" s="186">
        <v>1006</v>
      </c>
      <c r="D9" s="186">
        <f t="shared" si="0"/>
        <v>905400</v>
      </c>
      <c r="E9" s="186">
        <v>88000</v>
      </c>
      <c r="F9" s="186">
        <v>23242</v>
      </c>
      <c r="G9" s="186">
        <v>7059</v>
      </c>
      <c r="H9" s="186">
        <v>5500</v>
      </c>
      <c r="I9" s="186">
        <v>47.2</v>
      </c>
      <c r="J9" s="187">
        <f t="shared" ref="J9" si="4">B9/I9</f>
        <v>19.067796610169491</v>
      </c>
      <c r="K9" s="187">
        <f t="shared" si="2"/>
        <v>3.7862490319249633</v>
      </c>
      <c r="L9" s="187">
        <f t="shared" si="3"/>
        <v>12.466355007791472</v>
      </c>
      <c r="M9" s="187">
        <f t="shared" si="1"/>
        <v>16</v>
      </c>
    </row>
    <row r="10" spans="1:15" ht="16.2" thickBot="1" x14ac:dyDescent="0.35">
      <c r="A10" s="174" t="s">
        <v>484</v>
      </c>
      <c r="B10" s="82"/>
      <c r="C10" s="82"/>
      <c r="D10" s="82"/>
      <c r="E10" s="82"/>
      <c r="F10" s="82"/>
      <c r="G10" s="82"/>
      <c r="H10" s="82"/>
      <c r="I10" s="82"/>
      <c r="J10" s="187">
        <f>AVERAGE(J6:J9)</f>
        <v>24.055708292471543</v>
      </c>
      <c r="K10" s="187">
        <f>AVERAGE(K6:K9)</f>
        <v>4.7076345477115611</v>
      </c>
      <c r="L10" s="187">
        <f>AVERAGE(L6:L9)</f>
        <v>16.575164257624824</v>
      </c>
      <c r="M10" s="187">
        <f>AVERAGE(M6:M9)</f>
        <v>21.615093240093241</v>
      </c>
    </row>
    <row r="11" spans="1:15" ht="16.2" thickBot="1" x14ac:dyDescent="0.35">
      <c r="A11" s="174" t="s">
        <v>485</v>
      </c>
      <c r="B11" s="82"/>
      <c r="C11" s="82"/>
      <c r="D11" s="82"/>
      <c r="E11" s="82"/>
      <c r="F11" s="82"/>
      <c r="G11" s="82"/>
      <c r="H11" s="82"/>
      <c r="I11" s="82"/>
      <c r="J11" s="187">
        <f>MEDIAN(J6:J9)</f>
        <v>20.61952521639973</v>
      </c>
      <c r="K11" s="187">
        <f>MEDIAN(K6:K9)</f>
        <v>3.9803903791830422</v>
      </c>
      <c r="L11" s="187">
        <f>MEDIAN(L6:L9)</f>
        <v>14.299956404007968</v>
      </c>
      <c r="M11" s="187">
        <f>MEDIAN(M6:M9)</f>
        <v>18.454545454545453</v>
      </c>
    </row>
  </sheetData>
  <mergeCells count="4">
    <mergeCell ref="B4:E4"/>
    <mergeCell ref="F4:I4"/>
    <mergeCell ref="J4:M4"/>
    <mergeCell ref="A2:M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E49E-BC20-4380-959D-B7DB5DD331BA}">
  <dimension ref="B1:AA34"/>
  <sheetViews>
    <sheetView topLeftCell="B1" zoomScale="76" workbookViewId="0">
      <selection activeCell="C21" sqref="C21"/>
    </sheetView>
  </sheetViews>
  <sheetFormatPr defaultRowHeight="15.6" x14ac:dyDescent="0.3"/>
  <cols>
    <col min="1" max="1" width="8.88671875" style="14"/>
    <col min="2" max="2" width="24.77734375" style="14" customWidth="1"/>
    <col min="3" max="3" width="12.88671875" style="14" customWidth="1"/>
    <col min="4" max="4" width="8.88671875" style="14"/>
    <col min="5" max="5" width="9.77734375" style="14" customWidth="1"/>
    <col min="6" max="6" width="9.33203125" style="14" customWidth="1"/>
    <col min="7" max="7" width="9" style="14" customWidth="1"/>
    <col min="8" max="8" width="9.44140625" style="14" customWidth="1"/>
    <col min="9" max="9" width="9.6640625" style="14" customWidth="1"/>
    <col min="10" max="16384" width="8.88671875" style="14"/>
  </cols>
  <sheetData>
    <row r="1" spans="2:27" x14ac:dyDescent="0.3">
      <c r="AA1" s="15"/>
    </row>
    <row r="2" spans="2:27" x14ac:dyDescent="0.3">
      <c r="B2" s="32" t="s">
        <v>445</v>
      </c>
      <c r="C2" s="32"/>
      <c r="D2" s="37"/>
      <c r="E2" s="37"/>
      <c r="F2" s="37"/>
      <c r="G2" s="37"/>
      <c r="H2" s="37"/>
      <c r="I2" s="37"/>
    </row>
    <row r="3" spans="2:27" ht="3.45" customHeight="1" x14ac:dyDescent="0.3">
      <c r="B3" s="38"/>
      <c r="C3" s="38"/>
      <c r="D3" s="38"/>
      <c r="E3" s="38"/>
      <c r="F3" s="38"/>
      <c r="G3" s="38"/>
      <c r="H3" s="38"/>
      <c r="I3" s="38"/>
    </row>
    <row r="4" spans="2:27" ht="47.4" thickBot="1" x14ac:dyDescent="0.35">
      <c r="B4" s="188" t="s">
        <v>368</v>
      </c>
      <c r="C4" s="55" t="s">
        <v>523</v>
      </c>
      <c r="D4" s="55" t="s">
        <v>524</v>
      </c>
      <c r="E4" s="55" t="s">
        <v>213</v>
      </c>
      <c r="F4" s="55" t="s">
        <v>214</v>
      </c>
      <c r="G4" s="55" t="s">
        <v>525</v>
      </c>
      <c r="H4" s="55" t="s">
        <v>526</v>
      </c>
      <c r="I4" s="55" t="s">
        <v>527</v>
      </c>
    </row>
    <row r="5" spans="2:27" ht="16.2" thickBot="1" x14ac:dyDescent="0.35">
      <c r="B5" s="119" t="s">
        <v>180</v>
      </c>
      <c r="C5" s="119"/>
      <c r="D5" s="119"/>
      <c r="E5" s="82"/>
      <c r="F5" s="82"/>
      <c r="G5" s="82"/>
      <c r="H5" s="82"/>
      <c r="I5" s="82"/>
    </row>
    <row r="6" spans="2:27" ht="16.2" thickBot="1" x14ac:dyDescent="0.35">
      <c r="B6" s="119" t="s">
        <v>446</v>
      </c>
      <c r="C6" s="189">
        <f>('Financial Statements'!E16-'Financial Statements'!D16)/'Financial Statements'!D16*100</f>
        <v>-1.4556040756914119</v>
      </c>
      <c r="D6" s="189">
        <f>('Financial Statements'!F16-'Financial Statements'!E16)/'Financial Statements'!E16*100</f>
        <v>24.612259970457902</v>
      </c>
      <c r="E6" s="190">
        <f>('Financial Statements'!G16-'Financial Statements'!F16)/'Financial Statements'!F16*100</f>
        <v>10.62507978926142</v>
      </c>
      <c r="F6" s="190">
        <f>('Financial Statements'!H16-'Financial Statements'!G16)/'Financial Statements'!G16*100</f>
        <v>11.381889832243772</v>
      </c>
      <c r="G6" s="190">
        <f>('Financial Statements'!I16-'Financial Statements'!H16)/'Financial Statements'!H16*100</f>
        <v>10.585057633426711</v>
      </c>
      <c r="H6" s="190">
        <f>('Financial Statements'!J16-'Financial Statements'!I16)/'Financial Statements'!I16*100</f>
        <v>11.474082362665019</v>
      </c>
      <c r="I6" s="190">
        <f>('Financial Statements'!K16-'Financial Statements'!J16)/'Financial Statements'!J16*100</f>
        <v>11.730838513712676</v>
      </c>
    </row>
    <row r="7" spans="2:27" ht="16.2" thickBot="1" x14ac:dyDescent="0.35">
      <c r="B7" s="119" t="s">
        <v>447</v>
      </c>
      <c r="C7" s="189">
        <f>('Financial Statements'!E14-'Financial Statements'!D14)/'Financial Statements'!D14*100</f>
        <v>-0.78794107571085992</v>
      </c>
      <c r="D7" s="189">
        <f>('Financial Statements'!F14-'Financial Statements'!E14)/'Financial Statements'!E14*100</f>
        <v>23.446132596685082</v>
      </c>
      <c r="E7" s="190">
        <f>('Financial Statements'!G14-'Financial Statements'!F14)/'Financial Statements'!F14*100</f>
        <v>10.668316596213243</v>
      </c>
      <c r="F7" s="190">
        <f>('Financial Statements'!H14-'Financial Statements'!G14)/'Financial Statements'!G14*100</f>
        <v>11.330414301239573</v>
      </c>
      <c r="G7" s="190">
        <f>('Financial Statements'!I14-'Financial Statements'!H14)/'Financial Statements'!H14*100</f>
        <v>10.579264410636952</v>
      </c>
      <c r="H7" s="190">
        <f>('Financial Statements'!J14-'Financial Statements'!I14)/'Financial Statements'!I14*100</f>
        <v>11.352765384759806</v>
      </c>
      <c r="I7" s="190">
        <f>('Financial Statements'!K14-'Financial Statements'!J14)/'Financial Statements'!J14*100</f>
        <v>11.661852764726362</v>
      </c>
    </row>
    <row r="8" spans="2:27" ht="16.2" thickBot="1" x14ac:dyDescent="0.35">
      <c r="B8" s="119" t="s">
        <v>448</v>
      </c>
      <c r="C8" s="189">
        <f>('Financial Statements'!E22-'Financial Statements'!D22)/'Financial Statements'!D22*100</f>
        <v>-1.8593371059013744</v>
      </c>
      <c r="D8" s="189">
        <f>('Financial Statements'!F22-'Financial Statements'!E22)/'Financial Statements'!E22*100</f>
        <v>24.114497528830313</v>
      </c>
      <c r="E8" s="190">
        <f>('Financial Statements'!G22-'Financial Statements'!F22)/'Financial Statements'!F22*100</f>
        <v>-7.337283567029024</v>
      </c>
      <c r="F8" s="190">
        <f>('Financial Statements'!H22-'Financial Statements'!G22)/'Financial Statements'!G22*100</f>
        <v>11.381139876234432</v>
      </c>
      <c r="G8" s="190">
        <f>('Financial Statements'!I22-'Financial Statements'!H22)/'Financial Statements'!H22*100</f>
        <v>10.581648285987045</v>
      </c>
      <c r="H8" s="190">
        <f>('Financial Statements'!J22-'Financial Statements'!I22)/'Financial Statements'!I22*100</f>
        <v>11.472460614805899</v>
      </c>
      <c r="I8" s="190">
        <f>('Financial Statements'!K22-'Financial Statements'!J22)/'Financial Statements'!J22*100</f>
        <v>11.736938108071406</v>
      </c>
    </row>
    <row r="9" spans="2:27" ht="16.2" thickBot="1" x14ac:dyDescent="0.35">
      <c r="B9" s="119" t="s">
        <v>449</v>
      </c>
      <c r="C9" s="189">
        <f>('Financial Statements'!E23-'Financial Statements'!D23)/'Financial Statements'!D23*100</f>
        <v>-1.859337105901369</v>
      </c>
      <c r="D9" s="189">
        <f>('Financial Statements'!F23-'Financial Statements'!E23)/'Financial Statements'!E23*100</f>
        <v>24.114497528830316</v>
      </c>
      <c r="E9" s="190">
        <f>('Financial Statements'!G23-'Financial Statements'!F23)/'Financial Statements'!F23*100</f>
        <v>-7.3372835670290266</v>
      </c>
      <c r="F9" s="190">
        <f>('Financial Statements'!H23-'Financial Statements'!G23)/'Financial Statements'!G23*100</f>
        <v>11.381139876234425</v>
      </c>
      <c r="G9" s="190">
        <f>('Financial Statements'!I23-'Financial Statements'!H23)/'Financial Statements'!H23*100</f>
        <v>10.581648285987049</v>
      </c>
      <c r="H9" s="190">
        <f>('Financial Statements'!J23-'Financial Statements'!I23)/'Financial Statements'!I23*100</f>
        <v>11.472460614805904</v>
      </c>
      <c r="I9" s="190">
        <f>('Financial Statements'!K23-'Financial Statements'!J23)/'Financial Statements'!J23*100</f>
        <v>11.736938108071408</v>
      </c>
    </row>
    <row r="10" spans="2:27" ht="16.2" thickBot="1" x14ac:dyDescent="0.35">
      <c r="B10" s="119"/>
      <c r="C10" s="119"/>
      <c r="D10" s="119"/>
      <c r="E10" s="82"/>
      <c r="F10" s="82"/>
      <c r="G10" s="82"/>
      <c r="H10" s="82"/>
      <c r="I10" s="82"/>
    </row>
    <row r="11" spans="2:27" ht="16.2" thickBot="1" x14ac:dyDescent="0.35">
      <c r="B11" s="119" t="s">
        <v>450</v>
      </c>
      <c r="C11" s="119"/>
      <c r="D11" s="119"/>
      <c r="E11" s="82"/>
      <c r="F11" s="82"/>
      <c r="G11" s="82"/>
      <c r="H11" s="82"/>
      <c r="I11" s="82"/>
    </row>
    <row r="12" spans="2:27" ht="16.2" thickBot="1" x14ac:dyDescent="0.35">
      <c r="B12" s="119" t="s">
        <v>438</v>
      </c>
      <c r="C12" s="189">
        <f>'Financial Statements'!E14/'Financial Statements'!E9*100</f>
        <v>72.381904523869039</v>
      </c>
      <c r="D12" s="189">
        <f>'Financial Statements'!F14/'Financial Statements'!F9*100</f>
        <v>74.869109947643977</v>
      </c>
      <c r="E12" s="190">
        <f>'Financial Statements'!G14/'Financial Statements'!G9*100</f>
        <v>75.078508390270443</v>
      </c>
      <c r="F12" s="190">
        <f>'Financial Statements'!H14/'Financial Statements'!H9*100</f>
        <v>74.830305707394075</v>
      </c>
      <c r="G12" s="190">
        <f>'Financial Statements'!I14/'Financial Statements'!I9*100</f>
        <v>74.069235375141091</v>
      </c>
      <c r="H12" s="190">
        <f>'Financial Statements'!J14/'Financial Statements'!J9*100</f>
        <v>74.241952864066207</v>
      </c>
      <c r="I12" s="190">
        <f>'Financial Statements'!K14/'Financial Statements'!K9*100</f>
        <v>74.616992473946439</v>
      </c>
    </row>
    <row r="13" spans="2:27" ht="16.2" thickBot="1" x14ac:dyDescent="0.35">
      <c r="B13" s="119" t="s">
        <v>425</v>
      </c>
      <c r="C13" s="189">
        <f>'Financial Statements'!E16</f>
        <v>5416</v>
      </c>
      <c r="D13" s="189">
        <f>'Financial Statements'!F16</f>
        <v>6749</v>
      </c>
      <c r="E13" s="190">
        <f>'Financial Statements'!G16</f>
        <v>7466.0866349772532</v>
      </c>
      <c r="F13" s="190">
        <f>'Financial Statements'!H16</f>
        <v>8315.8683905502403</v>
      </c>
      <c r="G13" s="190">
        <f>'Financial Statements'!I16</f>
        <v>9196.1078524098975</v>
      </c>
      <c r="H13" s="190">
        <f>'Financial Statements'!J16</f>
        <v>10251.276841554914</v>
      </c>
      <c r="I13" s="190">
        <f>'Financial Statements'!K16</f>
        <v>11453.837573431347</v>
      </c>
    </row>
    <row r="14" spans="2:27" ht="16.2" thickBot="1" x14ac:dyDescent="0.35">
      <c r="B14" s="119" t="s">
        <v>451</v>
      </c>
      <c r="C14" s="189">
        <f>'Financial Statements'!E16/'Financial Statements'!E9*100</f>
        <v>67.683079230192462</v>
      </c>
      <c r="D14" s="189">
        <f>'Financial Statements'!F16/'Financial Statements'!F9*100</f>
        <v>70.670157068062821</v>
      </c>
      <c r="E14" s="190">
        <f>'Financial Statements'!G16/'Financial Statements'!G9*100</f>
        <v>70.840124407254208</v>
      </c>
      <c r="F14" s="190">
        <f>'Financial Statements'!H16/'Financial Statements'!H9*100</f>
        <v>70.638579301384169</v>
      </c>
      <c r="G14" s="190">
        <f>'Financial Statements'!I16/'Financial Statements'!I9*100</f>
        <v>69.923804510818982</v>
      </c>
      <c r="H14" s="190">
        <f>'Financial Statements'!J16/'Financial Statements'!J9*100</f>
        <v>70.163213983177613</v>
      </c>
      <c r="I14" s="190">
        <f>'Financial Statements'!K16/'Financial Statements'!K9*100</f>
        <v>70.561215963790417</v>
      </c>
    </row>
    <row r="15" spans="2:27" ht="16.2" thickBot="1" x14ac:dyDescent="0.35">
      <c r="B15" s="119" t="s">
        <v>492</v>
      </c>
      <c r="C15" s="189">
        <f>'Financial Statements'!E22</f>
        <v>4856</v>
      </c>
      <c r="D15" s="189">
        <f>'Financial Statements'!F22</f>
        <v>6027</v>
      </c>
      <c r="E15" s="190">
        <f>'Financial Statements'!G22</f>
        <v>5584.7819194151607</v>
      </c>
      <c r="F15" s="190">
        <f>'Financial Statements'!H22</f>
        <v>6220.3937614464503</v>
      </c>
      <c r="G15" s="190">
        <f>'Financial Statements'!I22</f>
        <v>6878.6139512861937</v>
      </c>
      <c r="H15" s="190">
        <f>'Financial Statements'!J22</f>
        <v>7667.7602276920461</v>
      </c>
      <c r="I15" s="190">
        <f>'Financial Statements'!K22</f>
        <v>8567.7204998915768</v>
      </c>
    </row>
    <row r="16" spans="2:27" ht="16.2" thickBot="1" x14ac:dyDescent="0.35">
      <c r="B16" s="119" t="s">
        <v>452</v>
      </c>
      <c r="C16" s="189">
        <f>'Financial Statements'!E22/'Financial Statements'!E9*100</f>
        <v>60.684828792801802</v>
      </c>
      <c r="D16" s="189">
        <f>'Financial Statements'!F22/'Financial Statements'!F9*100</f>
        <v>63.109947643979055</v>
      </c>
      <c r="E16" s="190">
        <f>'Financial Statements'!G22/'Financial Statements'!G9*100</f>
        <v>52.989827911360599</v>
      </c>
      <c r="F16" s="190">
        <f>'Financial Statements'!H22/'Financial Statements'!H9*100</f>
        <v>52.838712371047571</v>
      </c>
      <c r="G16" s="190">
        <f>'Financial Statements'!I22/'Financial Statements'!I9*100</f>
        <v>52.302437613221819</v>
      </c>
      <c r="H16" s="190">
        <f>'Financial Statements'!J22/'Financial Statements'!J9*100</f>
        <v>52.48075044139113</v>
      </c>
      <c r="I16" s="190">
        <f>'Financial Statements'!K22/'Financial Statements'!K9*100</f>
        <v>52.781329631613836</v>
      </c>
    </row>
    <row r="17" spans="2:9" ht="16.2" thickBot="1" x14ac:dyDescent="0.35">
      <c r="B17" s="119" t="s">
        <v>429</v>
      </c>
      <c r="C17" s="189">
        <f>'Financial Statements'!E22/'Financial Statements'!E33*100</f>
        <v>36.013052506674576</v>
      </c>
      <c r="D17" s="189">
        <f>'Financial Statements'!F22/'Financial Statements'!F33*100</f>
        <v>40.463242698892245</v>
      </c>
      <c r="E17" s="190">
        <f>'Financial Statements'!G22/'Financial Statements'!G33*100</f>
        <v>27.269733346724255</v>
      </c>
      <c r="F17" s="190">
        <f>'Financial Statements'!H22/'Financial Statements'!H33*100</f>
        <v>23.297201620681317</v>
      </c>
      <c r="G17" s="190">
        <f>'Financial Statements'!I22/'Financial Statements'!I33*100</f>
        <v>20.484996709651256</v>
      </c>
      <c r="H17" s="190">
        <f>'Financial Statements'!J22/'Financial Statements'!J33*100</f>
        <v>18.59006451145104</v>
      </c>
      <c r="I17" s="190">
        <f>'Financial Statements'!K22/'Financial Statements'!K33*100</f>
        <v>17.199329505421204</v>
      </c>
    </row>
    <row r="18" spans="2:9" ht="16.2" thickBot="1" x14ac:dyDescent="0.35">
      <c r="B18" s="119" t="s">
        <v>428</v>
      </c>
      <c r="C18" s="189">
        <f>'Financial Statements'!E16/('Financial Statements'!E61-'Financial Statements'!E45)*100</f>
        <v>44.16897732833143</v>
      </c>
      <c r="D18" s="189">
        <f>'Financial Statements'!F16/('Financial Statements'!F61-'Financial Statements'!F45)*100</f>
        <v>50.07048000593516</v>
      </c>
      <c r="E18" s="190">
        <f>'Financial Statements'!G16/('Financial Statements'!G61-'Financial Statements'!G45)*100</f>
        <v>39.466163832792454</v>
      </c>
      <c r="F18" s="190">
        <f>'Financial Statements'!H16/('Financial Statements'!H61-'Financial Statements'!H45)*100</f>
        <v>33.269034382633691</v>
      </c>
      <c r="G18" s="190">
        <f>'Financial Statements'!I16/('Financial Statements'!I61-'Financial Statements'!I45)*100</f>
        <v>29.053002930855776</v>
      </c>
      <c r="H18" s="190">
        <f>'Financial Statements'!J16/('Financial Statements'!J61-'Financial Statements'!J45)*100</f>
        <v>26.225085479257299</v>
      </c>
      <c r="I18" s="190">
        <f>'Financial Statements'!K16/('Financial Statements'!K61-'Financial Statements'!K45)*100</f>
        <v>24.140371159308458</v>
      </c>
    </row>
    <row r="19" spans="2:9" ht="16.2" thickBot="1" x14ac:dyDescent="0.35">
      <c r="B19" s="119"/>
      <c r="C19" s="119"/>
      <c r="D19" s="119"/>
      <c r="E19" s="82"/>
      <c r="F19" s="82"/>
      <c r="G19" s="82"/>
      <c r="H19" s="82"/>
      <c r="I19" s="82"/>
    </row>
    <row r="20" spans="2:9" ht="16.2" thickBot="1" x14ac:dyDescent="0.35">
      <c r="B20" s="119" t="s">
        <v>453</v>
      </c>
      <c r="C20" s="119"/>
      <c r="D20" s="119"/>
      <c r="E20" s="82"/>
      <c r="F20" s="82"/>
      <c r="G20" s="82"/>
      <c r="H20" s="82"/>
      <c r="I20" s="82"/>
    </row>
    <row r="21" spans="2:9" ht="16.2" thickBot="1" x14ac:dyDescent="0.35">
      <c r="B21" s="119" t="s">
        <v>454</v>
      </c>
      <c r="C21" s="191">
        <f>'DCF Valuation'!$B$9/'Financial Statements'!E23</f>
        <v>1.2616968698517297</v>
      </c>
      <c r="D21" s="191">
        <f>'DCF Valuation'!$B$9/'Financial Statements'!F23</f>
        <v>1.016558818649411</v>
      </c>
      <c r="E21" s="192">
        <f>'DCF Valuation'!$B$9/'Financial Statements'!G23</f>
        <v>1.0970526850297495</v>
      </c>
      <c r="F21" s="192">
        <f>'DCF Valuation'!$B$9/'Financial Statements'!H23</f>
        <v>0.98495372398664893</v>
      </c>
      <c r="G21" s="192">
        <f>'DCF Valuation'!$B$9/'Financial Statements'!I23</f>
        <v>0.89070269728604023</v>
      </c>
      <c r="H21" s="192">
        <f>'DCF Valuation'!$B$9/'Financial Statements'!J23</f>
        <v>0.79903385318089593</v>
      </c>
      <c r="I21" s="192">
        <f>'DCF Valuation'!$B$9/'Financial Statements'!K23</f>
        <v>0.71510269272644145</v>
      </c>
    </row>
    <row r="22" spans="2:9" ht="16.2" thickBot="1" x14ac:dyDescent="0.35">
      <c r="B22" s="119" t="s">
        <v>455</v>
      </c>
      <c r="C22" s="191">
        <f>'DCF Valuation'!$B$9/('Financial Statements'!E33/'Financial Statements'!E31)</f>
        <v>0.45437555621477305</v>
      </c>
      <c r="D22" s="191">
        <f>'DCF Valuation'!$B$9/('Financial Statements'!F33/'Financial Statements'!F31)</f>
        <v>0.411332661967103</v>
      </c>
      <c r="E22" s="192">
        <f>'DCF Valuation'!$B$9/('Financial Statements'!G33/'Financial Statements'!G31)</f>
        <v>0.29916334188069144</v>
      </c>
      <c r="F22" s="192">
        <f>'DCF Valuation'!$B$9/('Financial Statements'!H33/'Financial Statements'!H31)</f>
        <v>0.22946665494757856</v>
      </c>
      <c r="G22" s="192">
        <f>'DCF Valuation'!$B$9/('Financial Statements'!I33/'Financial Statements'!I31)</f>
        <v>0.1824604182318203</v>
      </c>
      <c r="H22" s="192">
        <f>'DCF Valuation'!$B$9/('Financial Statements'!J33/'Financial Statements'!J31)</f>
        <v>0.14854090877466153</v>
      </c>
      <c r="I22" s="192">
        <f>'DCF Valuation'!$B$9/('Financial Statements'!K33/'Financial Statements'!K31)</f>
        <v>0.12299286842416038</v>
      </c>
    </row>
    <row r="23" spans="2:9" ht="16.2" thickBot="1" x14ac:dyDescent="0.35">
      <c r="B23" s="119" t="s">
        <v>456</v>
      </c>
      <c r="C23" s="191">
        <f>'DCF Valuation'!$K$19/'Financial Statements'!E14</f>
        <v>419.74617698134637</v>
      </c>
      <c r="D23" s="191">
        <f>'DCF Valuation'!$K$19/'Financial Statements'!F14</f>
        <v>340.02375623439974</v>
      </c>
      <c r="E23" s="192">
        <f>'DCF Valuation'!$K$19/'Financial Statements'!G14</f>
        <v>307.24580141127257</v>
      </c>
      <c r="F23" s="192">
        <f>'DCF Valuation'!$K$19/'Financial Statements'!H14</f>
        <v>275.97651849199275</v>
      </c>
      <c r="G23" s="192">
        <f>'DCF Valuation'!$K$19/'Financial Statements'!I14</f>
        <v>249.57348013019131</v>
      </c>
      <c r="H23" s="192">
        <f>'DCF Valuation'!$K$19/'Financial Statements'!J14</f>
        <v>224.12867724284553</v>
      </c>
      <c r="I23" s="192">
        <f>'DCF Valuation'!$K$19/'Financial Statements'!K14</f>
        <v>200.72090126884146</v>
      </c>
    </row>
    <row r="24" spans="2:9" ht="16.2" thickBot="1" x14ac:dyDescent="0.35">
      <c r="B24" s="119" t="s">
        <v>457</v>
      </c>
      <c r="C24" s="191">
        <f>'DCF Valuation'!$K$19/'Financial Statements'!E9</f>
        <v>303.82027706522842</v>
      </c>
      <c r="D24" s="191">
        <f>'DCF Valuation'!$K$19/'Financial Statements'!F9</f>
        <v>254.57275990324169</v>
      </c>
      <c r="E24" s="192">
        <f>'DCF Valuation'!$K$19/'Financial Statements'!G9</f>
        <v>230.67556479131591</v>
      </c>
      <c r="F24" s="192">
        <f>'DCF Valuation'!$K$19/'Financial Statements'!H9</f>
        <v>206.5140724681811</v>
      </c>
      <c r="G24" s="192">
        <f>'DCF Valuation'!$K$19/'Financial Statements'!I9</f>
        <v>184.8571684315624</v>
      </c>
      <c r="H24" s="192">
        <f>'DCF Valuation'!$K$19/'Financial Statements'!J9</f>
        <v>166.39750691348846</v>
      </c>
      <c r="I24" s="192">
        <f>'DCF Valuation'!$K$19/'Financial Statements'!K9</f>
        <v>149.77189979340892</v>
      </c>
    </row>
    <row r="25" spans="2:9" ht="16.2" thickBot="1" x14ac:dyDescent="0.35">
      <c r="B25" s="119" t="s">
        <v>458</v>
      </c>
      <c r="C25" s="191">
        <f>'Financial Statements'!E24/'Financial Statements'!E22*100</f>
        <v>0</v>
      </c>
      <c r="D25" s="191">
        <f>'Financial Statements'!F24/'Financial Statements'!F22*100</f>
        <v>0</v>
      </c>
      <c r="E25" s="192">
        <f>'Financial Statements'!G24/'Financial Statements'!G22*100</f>
        <v>0</v>
      </c>
      <c r="F25" s="192">
        <f>'Financial Statements'!H24/'Financial Statements'!H22*100</f>
        <v>0</v>
      </c>
      <c r="G25" s="192">
        <f>'Financial Statements'!I24/'Financial Statements'!I22*100</f>
        <v>0</v>
      </c>
      <c r="H25" s="192">
        <f>'Financial Statements'!J24/'Financial Statements'!J22*100</f>
        <v>0</v>
      </c>
      <c r="I25" s="192">
        <f>'Financial Statements'!K24/'Financial Statements'!K22*100</f>
        <v>0</v>
      </c>
    </row>
    <row r="26" spans="2:9" ht="16.2" thickBot="1" x14ac:dyDescent="0.35">
      <c r="B26" s="119" t="s">
        <v>427</v>
      </c>
      <c r="C26" s="191">
        <f>('Financial Statements'!E24/'Financial Statements'!E31)/'DCF Valuation'!$B$9*100</f>
        <v>0</v>
      </c>
      <c r="D26" s="191">
        <f>('Financial Statements'!F24/'Financial Statements'!F31)/'DCF Valuation'!$B$9*100</f>
        <v>0</v>
      </c>
      <c r="E26" s="192">
        <f>('Financial Statements'!G24/'Financial Statements'!G31)/'DCF Valuation'!$B$9*100</f>
        <v>0</v>
      </c>
      <c r="F26" s="192">
        <f>('Financial Statements'!H24/'Financial Statements'!H31)/'DCF Valuation'!$B$9*100</f>
        <v>0</v>
      </c>
      <c r="G26" s="192">
        <f>('Financial Statements'!I24/'Financial Statements'!I31)/'DCF Valuation'!$B$9*100</f>
        <v>0</v>
      </c>
      <c r="H26" s="192">
        <f>('Financial Statements'!J24/'Financial Statements'!J31)/'DCF Valuation'!$B$9*100</f>
        <v>0</v>
      </c>
      <c r="I26" s="192">
        <f>('Financial Statements'!K24/'Financial Statements'!K31)/'DCF Valuation'!$B$9*100</f>
        <v>0</v>
      </c>
    </row>
    <row r="27" spans="2:9" ht="16.2" thickBot="1" x14ac:dyDescent="0.35">
      <c r="B27" s="119"/>
      <c r="C27" s="119"/>
      <c r="D27" s="119"/>
      <c r="E27" s="82"/>
      <c r="F27" s="82"/>
      <c r="G27" s="82"/>
      <c r="H27" s="82"/>
      <c r="I27" s="82"/>
    </row>
    <row r="28" spans="2:9" ht="16.2" thickBot="1" x14ac:dyDescent="0.35">
      <c r="B28" s="119" t="s">
        <v>459</v>
      </c>
      <c r="C28" s="119"/>
      <c r="D28" s="119"/>
      <c r="E28" s="82"/>
      <c r="F28" s="82"/>
      <c r="G28" s="82"/>
      <c r="H28" s="82"/>
      <c r="I28" s="82"/>
    </row>
    <row r="29" spans="2:9" ht="16.2" thickBot="1" x14ac:dyDescent="0.35">
      <c r="B29" s="119" t="s">
        <v>460</v>
      </c>
      <c r="C29" s="189">
        <f>Assumptions!E38</f>
        <v>1404.0270618556701</v>
      </c>
      <c r="D29" s="189">
        <f>Assumptions!F38</f>
        <v>1493.9878542510121</v>
      </c>
      <c r="E29" s="190">
        <f>Assumptions!G38</f>
        <v>1424.5642393889696</v>
      </c>
      <c r="F29" s="190">
        <f>Assumptions!H38</f>
        <v>1423.5053551403441</v>
      </c>
      <c r="G29" s="190">
        <f>Assumptions!I38</f>
        <v>1409.1567228698368</v>
      </c>
      <c r="H29" s="190">
        <f>Assumptions!J38</f>
        <v>1431.0482467011666</v>
      </c>
      <c r="I29" s="190">
        <f>Assumptions!K38</f>
        <v>1436.4524836702658</v>
      </c>
    </row>
    <row r="30" spans="2:9" ht="16.2" thickBot="1" x14ac:dyDescent="0.35">
      <c r="B30" s="119" t="s">
        <v>461</v>
      </c>
      <c r="C30" s="189">
        <f>Assumptions!E35</f>
        <v>108.23809523809524</v>
      </c>
      <c r="D30" s="189">
        <f>Assumptions!F35</f>
        <v>113.2936507936508</v>
      </c>
      <c r="E30" s="190">
        <f>Assumptions!G35</f>
        <v>102.97902415521915</v>
      </c>
      <c r="F30" s="190">
        <f>Assumptions!H35</f>
        <v>104.83189771060513</v>
      </c>
      <c r="G30" s="190">
        <f>Assumptions!I35</f>
        <v>104.67141882541571</v>
      </c>
      <c r="H30" s="190">
        <f>Assumptions!J35</f>
        <v>106.8028173445972</v>
      </c>
      <c r="I30" s="190">
        <f>Assumptions!K35</f>
        <v>106.51576176589761</v>
      </c>
    </row>
    <row r="31" spans="2:9" ht="16.2" thickBot="1" x14ac:dyDescent="0.35">
      <c r="B31" s="119" t="s">
        <v>462</v>
      </c>
      <c r="C31" s="189">
        <f>'Financial Statements'!E9/'Financial Statements'!E61</f>
        <v>0.59182013164706748</v>
      </c>
      <c r="D31" s="189">
        <f>'Financial Statements'!F9/'Financial Statements'!F61</f>
        <v>0.64106867154460634</v>
      </c>
      <c r="E31" s="190">
        <f>'Financial Statements'!G9/'Financial Statements'!G61</f>
        <v>0.5145717748863009</v>
      </c>
      <c r="F31" s="190">
        <f>'Financial Statements'!H9/'Financial Statements'!H61</f>
        <v>0.4408796765216712</v>
      </c>
      <c r="G31" s="190">
        <f>'Financial Statements'!I9/'Financial Statements'!I61</f>
        <v>0.39164330752954762</v>
      </c>
      <c r="H31" s="190">
        <f>'Financial Statements'!J9/'Financial Statements'!J61</f>
        <v>0.35421295240332218</v>
      </c>
      <c r="I31" s="190">
        <f>'Financial Statements'!K9/'Financial Statements'!K61</f>
        <v>0.32585215190365657</v>
      </c>
    </row>
    <row r="32" spans="2:9" ht="16.2" thickBot="1" x14ac:dyDescent="0.35">
      <c r="B32" s="119" t="s">
        <v>463</v>
      </c>
      <c r="C32" s="189">
        <f>'Financial Statements'!E60/'Financial Statements'!E45</f>
        <v>7.60285941223193</v>
      </c>
      <c r="D32" s="189">
        <f>'Financial Statements'!F60/'Financial Statements'!F45</f>
        <v>7.0373765867418898</v>
      </c>
      <c r="E32" s="190">
        <f>'Financial Statements'!G60/'Financial Statements'!G45</f>
        <v>9.6639507330947936</v>
      </c>
      <c r="F32" s="190">
        <f>'Financial Statements'!H60/'Financial Statements'!H45</f>
        <v>12.241699286751828</v>
      </c>
      <c r="G32" s="190">
        <f>'Financial Statements'!I60/'Financial Statements'!I45</f>
        <v>14.189456188770743</v>
      </c>
      <c r="H32" s="190">
        <f>'Financial Statements'!J60/'Financial Statements'!J45</f>
        <v>16.004528767690235</v>
      </c>
      <c r="I32" s="190">
        <f>'Financial Statements'!K60/'Financial Statements'!K45</f>
        <v>17.903240699683863</v>
      </c>
    </row>
    <row r="33" spans="2:9" ht="16.2" thickBot="1" x14ac:dyDescent="0.35">
      <c r="B33" s="119" t="s">
        <v>464</v>
      </c>
      <c r="C33" s="189">
        <f>('Financial Statements'!E40+'Financial Statements'!E42)/'Financial Statements'!E33</f>
        <v>4.5906259270246219E-2</v>
      </c>
      <c r="D33" s="189">
        <f>('Financial Statements'!F40+'Financial Statements'!F42)/'Financial Statements'!F33</f>
        <v>3.444108761329305E-2</v>
      </c>
      <c r="E33" s="190">
        <f>('Financial Statements'!G40+'Financial Statements'!G42)/'Financial Statements'!G33</f>
        <v>2.504909485943636E-2</v>
      </c>
      <c r="F33" s="190">
        <f>('Financial Statements'!H40+'Financial Statements'!H42)/'Financial Statements'!H33</f>
        <v>1.9213356725877751E-2</v>
      </c>
      <c r="G33" s="190">
        <f>('Financial Statements'!I40+'Financial Statements'!I42)/'Financial Statements'!I33</f>
        <v>1.5277501232768137E-2</v>
      </c>
      <c r="H33" s="190">
        <f>('Financial Statements'!J40+'Financial Statements'!J42)/'Financial Statements'!J33</f>
        <v>1.2437403897858813E-2</v>
      </c>
      <c r="I33" s="190">
        <f>('Financial Statements'!K40+'Financial Statements'!K42)/'Financial Statements'!K33</f>
        <v>1.0298253819545975E-2</v>
      </c>
    </row>
    <row r="34" spans="2:9" ht="16.2" thickBot="1" x14ac:dyDescent="0.35">
      <c r="B34" s="119" t="s">
        <v>465</v>
      </c>
      <c r="C34" s="189">
        <f>'Financial Statements'!E16/'Financial Statements'!E17</f>
        <v>1354</v>
      </c>
      <c r="D34" s="189">
        <f>'Financial Statements'!F16/'Financial Statements'!F17</f>
        <v>3374.5</v>
      </c>
      <c r="E34" s="190">
        <f>'Financial Statements'!G16/'Financial Statements'!G17</f>
        <v>2494.1714086647248</v>
      </c>
      <c r="F34" s="190">
        <f>'Financial Statements'!H16/'Financial Statements'!H17</f>
        <v>2452.9929911920285</v>
      </c>
      <c r="G34" s="190">
        <f>'Financial Statements'!I16/'Financial Statements'!I17</f>
        <v>2280.5913077989344</v>
      </c>
      <c r="H34" s="190">
        <f>'Financial Statements'!J16/'Financial Statements'!J17</f>
        <v>2207.3856520991549</v>
      </c>
      <c r="I34" s="190">
        <f>'Financial Statements'!K16/'Financial Statements'!K17</f>
        <v>2509.6781349800785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CA3F-9F66-4660-B711-6EBE2E39D21F}">
  <dimension ref="B2:R35"/>
  <sheetViews>
    <sheetView zoomScale="73" workbookViewId="0">
      <selection activeCell="S16" sqref="S16"/>
    </sheetView>
  </sheetViews>
  <sheetFormatPr defaultRowHeight="15.6" x14ac:dyDescent="0.3"/>
  <cols>
    <col min="1" max="1" width="8.88671875" style="14"/>
    <col min="2" max="2" width="17.6640625" style="14" customWidth="1"/>
    <col min="3" max="3" width="10.44140625" style="14" customWidth="1"/>
    <col min="4" max="4" width="12.109375" style="14" customWidth="1"/>
    <col min="5" max="5" width="11.21875" style="14" customWidth="1"/>
    <col min="6" max="6" width="11" style="14" customWidth="1"/>
    <col min="7" max="7" width="12.77734375" style="14" customWidth="1"/>
    <col min="8" max="8" width="12.88671875" style="14" customWidth="1"/>
    <col min="9" max="19" width="8.88671875" style="14"/>
    <col min="20" max="20" width="8.77734375" style="14" customWidth="1"/>
    <col min="21" max="16384" width="8.88671875" style="14"/>
  </cols>
  <sheetData>
    <row r="2" spans="2:18" ht="16.2" thickBot="1" x14ac:dyDescent="0.35">
      <c r="B2" s="147" t="s">
        <v>432</v>
      </c>
      <c r="C2" s="147"/>
      <c r="D2" s="147"/>
      <c r="E2" s="147"/>
      <c r="F2" s="147"/>
      <c r="G2" s="147"/>
      <c r="H2" s="147"/>
      <c r="R2" s="15"/>
    </row>
    <row r="3" spans="2:18" ht="3" customHeight="1" thickBot="1" x14ac:dyDescent="0.35">
      <c r="B3" s="119"/>
      <c r="C3" s="119"/>
      <c r="D3" s="119"/>
      <c r="E3" s="119"/>
      <c r="F3" s="119"/>
      <c r="G3" s="119"/>
      <c r="H3" s="119"/>
    </row>
    <row r="4" spans="2:18" ht="31.8" customHeight="1" thickBot="1" x14ac:dyDescent="0.35">
      <c r="B4" s="193" t="s">
        <v>368</v>
      </c>
      <c r="C4" s="55" t="s">
        <v>524</v>
      </c>
      <c r="D4" s="55" t="s">
        <v>213</v>
      </c>
      <c r="E4" s="55" t="s">
        <v>214</v>
      </c>
      <c r="F4" s="55" t="s">
        <v>525</v>
      </c>
      <c r="G4" s="55" t="s">
        <v>526</v>
      </c>
      <c r="H4" s="55" t="s">
        <v>527</v>
      </c>
    </row>
    <row r="5" spans="2:18" ht="16.2" thickBot="1" x14ac:dyDescent="0.35">
      <c r="B5" s="82" t="s">
        <v>425</v>
      </c>
      <c r="C5" s="60">
        <f>'Financial Statements'!F16</f>
        <v>6749</v>
      </c>
      <c r="D5" s="60">
        <f>'Financial Statements'!G16</f>
        <v>7466.0866349772532</v>
      </c>
      <c r="E5" s="60">
        <f>'Financial Statements'!H16</f>
        <v>8315.8683905502403</v>
      </c>
      <c r="F5" s="60">
        <f>'Financial Statements'!I16</f>
        <v>9196.1078524098975</v>
      </c>
      <c r="G5" s="60">
        <f>'Financial Statements'!J16</f>
        <v>10251.276841554914</v>
      </c>
      <c r="H5" s="60">
        <f>'Financial Statements'!K16</f>
        <v>11453.837573431347</v>
      </c>
    </row>
    <row r="6" spans="2:18" ht="16.2" thickBot="1" x14ac:dyDescent="0.35">
      <c r="B6" s="82" t="s">
        <v>439</v>
      </c>
      <c r="C6" s="70">
        <f>(C5-'Financial Statements'!E16)/'Financial Statements'!E16</f>
        <v>0.24612259970457903</v>
      </c>
      <c r="D6" s="70">
        <f>(D5-C5)/C5</f>
        <v>0.1062507978926142</v>
      </c>
      <c r="E6" s="70">
        <f t="shared" ref="E6:H6" si="0">(E5-D5)/D5</f>
        <v>0.11381889832243772</v>
      </c>
      <c r="F6" s="70">
        <f t="shared" si="0"/>
        <v>0.10585057633426712</v>
      </c>
      <c r="G6" s="70">
        <f t="shared" si="0"/>
        <v>0.11474082362665018</v>
      </c>
      <c r="H6" s="70">
        <f t="shared" si="0"/>
        <v>0.11730838513712677</v>
      </c>
    </row>
    <row r="7" spans="2:18" ht="16.2" thickBot="1" x14ac:dyDescent="0.35">
      <c r="B7" s="82" t="s">
        <v>167</v>
      </c>
      <c r="C7" s="60">
        <f>'Financial Statements'!F14</f>
        <v>7150</v>
      </c>
      <c r="D7" s="60">
        <f>'Financial Statements'!G14</f>
        <v>7912.784636629247</v>
      </c>
      <c r="E7" s="60">
        <f>'Financial Statements'!H14</f>
        <v>8809.3359187241749</v>
      </c>
      <c r="F7" s="60">
        <f>'Financial Statements'!I14</f>
        <v>9741.2988583872193</v>
      </c>
      <c r="G7" s="60">
        <f>'Financial Statements'!J14</f>
        <v>10847.205663208206</v>
      </c>
      <c r="H7" s="60">
        <f>'Financial Statements'!K14</f>
        <v>12112.190816738606</v>
      </c>
    </row>
    <row r="8" spans="2:18" ht="16.2" thickBot="1" x14ac:dyDescent="0.35">
      <c r="B8" s="82" t="s">
        <v>438</v>
      </c>
      <c r="C8" s="70">
        <f>C7/'Financial Statements'!F9</f>
        <v>0.74869109947643975</v>
      </c>
      <c r="D8" s="70">
        <f>D7/'Financial Statements'!G9</f>
        <v>0.75078508390270438</v>
      </c>
      <c r="E8" s="70">
        <f>E7/'Financial Statements'!H9</f>
        <v>0.74830305707394074</v>
      </c>
      <c r="F8" s="70">
        <f>F7/'Financial Statements'!I9</f>
        <v>0.74069235375141096</v>
      </c>
      <c r="G8" s="70">
        <f>G7/'Financial Statements'!J9</f>
        <v>0.74241952864066207</v>
      </c>
      <c r="H8" s="70">
        <f>H7/'Financial Statements'!K9</f>
        <v>0.74616992473946442</v>
      </c>
    </row>
    <row r="9" spans="2:18" ht="16.2" thickBot="1" x14ac:dyDescent="0.35">
      <c r="B9" s="82" t="s">
        <v>281</v>
      </c>
      <c r="C9" s="60">
        <f>'Financial Statements'!F22</f>
        <v>6027</v>
      </c>
      <c r="D9" s="60">
        <f>'Financial Statements'!G22</f>
        <v>5584.7819194151607</v>
      </c>
      <c r="E9" s="60">
        <f>'Financial Statements'!H22</f>
        <v>6220.3937614464503</v>
      </c>
      <c r="F9" s="60">
        <f>'Financial Statements'!I22</f>
        <v>6878.6139512861937</v>
      </c>
      <c r="G9" s="60">
        <f>'Financial Statements'!J22</f>
        <v>7667.7602276920461</v>
      </c>
      <c r="H9" s="60">
        <f>'Financial Statements'!K22</f>
        <v>8567.7204998915768</v>
      </c>
    </row>
    <row r="10" spans="2:18" ht="16.2" thickBot="1" x14ac:dyDescent="0.35">
      <c r="B10" s="82" t="s">
        <v>282</v>
      </c>
      <c r="C10" s="60">
        <f>'Financial Statements'!F23</f>
        <v>113.71698113207547</v>
      </c>
      <c r="D10" s="60">
        <f>'Financial Statements'!G23</f>
        <v>105.3732437625502</v>
      </c>
      <c r="E10" s="60">
        <f>'Financial Statements'!H23</f>
        <v>117.36592002729151</v>
      </c>
      <c r="F10" s="60">
        <f>'Financial Statements'!I23</f>
        <v>129.78516889219233</v>
      </c>
      <c r="G10" s="60">
        <f>'Financial Statements'!J23</f>
        <v>144.67472127720842</v>
      </c>
      <c r="H10" s="60">
        <f>'Financial Statements'!K23</f>
        <v>161.65510377153919</v>
      </c>
    </row>
    <row r="11" spans="2:18" ht="16.2" thickBot="1" x14ac:dyDescent="0.35">
      <c r="B11" s="82" t="s">
        <v>426</v>
      </c>
      <c r="C11" s="194">
        <f>(C10-'Financial Statements'!E23)/'Financial Statements'!E23*100</f>
        <v>24.114497528830316</v>
      </c>
      <c r="D11" s="194">
        <f>(D10-C10)/C10*100</f>
        <v>-7.3372835670290266</v>
      </c>
      <c r="E11" s="194">
        <f t="shared" ref="E11:H11" si="1">(E10-D10)/D10*100</f>
        <v>11.381139876234425</v>
      </c>
      <c r="F11" s="194">
        <f t="shared" si="1"/>
        <v>10.581648285987049</v>
      </c>
      <c r="G11" s="194">
        <f t="shared" si="1"/>
        <v>11.472460614805904</v>
      </c>
      <c r="H11" s="194">
        <f t="shared" si="1"/>
        <v>11.736938108071408</v>
      </c>
    </row>
    <row r="12" spans="2:18" ht="16.2" thickBot="1" x14ac:dyDescent="0.35">
      <c r="B12" s="82" t="s">
        <v>427</v>
      </c>
      <c r="C12" s="194">
        <f>('Financial Statements'!F24/'Financial Statements'!F31)/'DCF Valuation'!$B$9*100</f>
        <v>0</v>
      </c>
      <c r="D12" s="194">
        <f>('Financial Statements'!G24/'Financial Statements'!G31)/'DCF Valuation'!$B$9*100</f>
        <v>0</v>
      </c>
      <c r="E12" s="194">
        <f>('Financial Statements'!H24/'Financial Statements'!H31)/'DCF Valuation'!$B$9*100</f>
        <v>0</v>
      </c>
      <c r="F12" s="194">
        <f>('Financial Statements'!I24/'Financial Statements'!I31)/'DCF Valuation'!$B$9*100</f>
        <v>0</v>
      </c>
      <c r="G12" s="194">
        <f>('Financial Statements'!J24/'Financial Statements'!J31)/'DCF Valuation'!$B$9*100</f>
        <v>0</v>
      </c>
      <c r="H12" s="194">
        <f>('Financial Statements'!K24/'Financial Statements'!K31)/'DCF Valuation'!$B$9*100</f>
        <v>0</v>
      </c>
    </row>
    <row r="13" spans="2:18" ht="16.2" thickBot="1" x14ac:dyDescent="0.35">
      <c r="B13" s="82" t="s">
        <v>428</v>
      </c>
      <c r="C13" s="70">
        <f>'Financial Statements'!F16/('Financial Statements'!F61-'Financial Statements'!F45)</f>
        <v>0.50070480005935158</v>
      </c>
      <c r="D13" s="70">
        <f>'Financial Statements'!G16/('Financial Statements'!G61-'Financial Statements'!G45)</f>
        <v>0.3946616383279245</v>
      </c>
      <c r="E13" s="70">
        <f>'Financial Statements'!H16/('Financial Statements'!H61-'Financial Statements'!H45)</f>
        <v>0.33269034382633689</v>
      </c>
      <c r="F13" s="70">
        <f>'Financial Statements'!I16/('Financial Statements'!I61-'Financial Statements'!I45)</f>
        <v>0.29053002930855776</v>
      </c>
      <c r="G13" s="70">
        <f>'Financial Statements'!J16/('Financial Statements'!J61-'Financial Statements'!J45)</f>
        <v>0.26225085479257298</v>
      </c>
      <c r="H13" s="70">
        <f>'Financial Statements'!K16/('Financial Statements'!K61-'Financial Statements'!K45)</f>
        <v>0.24140371159308457</v>
      </c>
    </row>
    <row r="14" spans="2:18" ht="16.2" thickBot="1" x14ac:dyDescent="0.35">
      <c r="B14" s="82" t="s">
        <v>429</v>
      </c>
      <c r="C14" s="70">
        <f>'Financial Statements'!F22/'Financial Statements'!F33</f>
        <v>0.40463242698892243</v>
      </c>
      <c r="D14" s="70">
        <f>'Financial Statements'!G22/'Financial Statements'!G33</f>
        <v>0.27269733346724256</v>
      </c>
      <c r="E14" s="70">
        <f>'Financial Statements'!H22/'Financial Statements'!H33</f>
        <v>0.23297201620681318</v>
      </c>
      <c r="F14" s="70">
        <f>'Financial Statements'!I22/'Financial Statements'!I33</f>
        <v>0.20484996709651254</v>
      </c>
      <c r="G14" s="70">
        <f>'Financial Statements'!J22/'Financial Statements'!J33</f>
        <v>0.1859006451145104</v>
      </c>
      <c r="H14" s="70">
        <f>'Financial Statements'!K22/'Financial Statements'!K33</f>
        <v>0.17199329505421204</v>
      </c>
    </row>
    <row r="15" spans="2:18" ht="16.2" thickBot="1" x14ac:dyDescent="0.35">
      <c r="B15" s="82" t="s">
        <v>430</v>
      </c>
      <c r="C15" s="60">
        <f>'DCF Valuation'!$B$9/'Financial Statements'!F23</f>
        <v>1.016558818649411</v>
      </c>
      <c r="D15" s="60">
        <f>'DCF Valuation'!$B$9/'Financial Statements'!G23</f>
        <v>1.0970526850297495</v>
      </c>
      <c r="E15" s="60">
        <f>'DCF Valuation'!$B$9/'Financial Statements'!H23</f>
        <v>0.98495372398664893</v>
      </c>
      <c r="F15" s="60">
        <f>'DCF Valuation'!$B$9/'Financial Statements'!I23</f>
        <v>0.89070269728604023</v>
      </c>
      <c r="G15" s="60">
        <f>'DCF Valuation'!$B$9/'Financial Statements'!J23</f>
        <v>0.79903385318089593</v>
      </c>
      <c r="H15" s="60">
        <f>'DCF Valuation'!$B$9/'Financial Statements'!K23</f>
        <v>0.71510269272644145</v>
      </c>
    </row>
    <row r="16" spans="2:18" ht="16.2" thickBot="1" x14ac:dyDescent="0.35">
      <c r="B16" s="82" t="s">
        <v>431</v>
      </c>
      <c r="C16" s="194">
        <f>'DCF Valuation'!$B$9/('Financial Statements'!F33/'Financial Statements'!F31)</f>
        <v>0.411332661967103</v>
      </c>
      <c r="D16" s="194">
        <f>'DCF Valuation'!$B$9/('Financial Statements'!G33/'Financial Statements'!G31)</f>
        <v>0.29916334188069144</v>
      </c>
      <c r="E16" s="194">
        <f>'DCF Valuation'!$B$9/('Financial Statements'!H33/'Financial Statements'!H31)</f>
        <v>0.22946665494757856</v>
      </c>
      <c r="F16" s="194">
        <f>'DCF Valuation'!$B$9/('Financial Statements'!I33/'Financial Statements'!I31)</f>
        <v>0.1824604182318203</v>
      </c>
      <c r="G16" s="194">
        <f>'DCF Valuation'!$B$9/('Financial Statements'!J33/'Financial Statements'!J31)</f>
        <v>0.14854090877466153</v>
      </c>
      <c r="H16" s="194">
        <f>'DCF Valuation'!$B$9/('Financial Statements'!K33/'Financial Statements'!K31)</f>
        <v>0.12299286842416038</v>
      </c>
    </row>
    <row r="17" spans="2:8" ht="16.2" thickBot="1" x14ac:dyDescent="0.35">
      <c r="B17" s="82" t="s">
        <v>466</v>
      </c>
      <c r="C17" s="60">
        <f>'DCF Valuation'!$B$33/'Financial Statements'!F23</f>
        <v>403.99267580487111</v>
      </c>
      <c r="D17" s="60">
        <f>'DCF Valuation'!$B$33/'Financial Statements'!G23</f>
        <v>435.98190443413722</v>
      </c>
      <c r="E17" s="60">
        <f>'DCF Valuation'!$B$33/'Financial Statements'!H23</f>
        <v>391.43243184492081</v>
      </c>
      <c r="F17" s="60">
        <f>'DCF Valuation'!$B$33/'Financial Statements'!I23</f>
        <v>353.97594258370566</v>
      </c>
      <c r="G17" s="60">
        <f>'DCF Valuation'!$B$33/'Financial Statements'!J23</f>
        <v>317.54564367864157</v>
      </c>
      <c r="H17" s="60">
        <f>'DCF Valuation'!$B$33/'Financial Statements'!K23</f>
        <v>284.19039312811043</v>
      </c>
    </row>
    <row r="22" spans="2:8" x14ac:dyDescent="0.3">
      <c r="C22" s="195"/>
    </row>
    <row r="35" spans="3:8" x14ac:dyDescent="0.3">
      <c r="C35" s="28"/>
      <c r="D35" s="28"/>
      <c r="E35" s="28"/>
      <c r="F35" s="28"/>
      <c r="G35" s="28"/>
      <c r="H35" s="28"/>
    </row>
  </sheetData>
  <mergeCells count="1">
    <mergeCell ref="B2:H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F450-186B-47AF-933B-F8B3CD3A570B}">
  <dimension ref="A3:F40"/>
  <sheetViews>
    <sheetView topLeftCell="C1" workbookViewId="0">
      <selection activeCell="J33" sqref="J33"/>
    </sheetView>
  </sheetViews>
  <sheetFormatPr defaultRowHeight="14.4" x14ac:dyDescent="0.3"/>
  <cols>
    <col min="1" max="1" width="18.77734375" bestFit="1" customWidth="1"/>
    <col min="2" max="2" width="15.5546875" bestFit="1" customWidth="1"/>
    <col min="3" max="3" width="8.33203125" bestFit="1" customWidth="1"/>
    <col min="4" max="4" width="8.6640625" bestFit="1" customWidth="1"/>
    <col min="5" max="5" width="11.21875" bestFit="1" customWidth="1"/>
    <col min="6" max="6" width="10.77734375" bestFit="1" customWidth="1"/>
    <col min="7" max="8" width="18.77734375" bestFit="1" customWidth="1"/>
    <col min="9" max="9" width="15.88671875" bestFit="1" customWidth="1"/>
    <col min="10" max="10" width="23.5546875" bestFit="1" customWidth="1"/>
    <col min="11" max="11" width="27.5546875" bestFit="1" customWidth="1"/>
  </cols>
  <sheetData>
    <row r="3" spans="1:6" x14ac:dyDescent="0.3">
      <c r="A3" s="9" t="s">
        <v>505</v>
      </c>
      <c r="B3" s="9" t="s">
        <v>504</v>
      </c>
    </row>
    <row r="4" spans="1:6" x14ac:dyDescent="0.3">
      <c r="A4" s="9" t="s">
        <v>502</v>
      </c>
      <c r="B4" t="s">
        <v>535</v>
      </c>
      <c r="C4" t="s">
        <v>533</v>
      </c>
      <c r="D4" t="s">
        <v>534</v>
      </c>
      <c r="E4" t="s">
        <v>536</v>
      </c>
      <c r="F4" t="s">
        <v>503</v>
      </c>
    </row>
    <row r="5" spans="1:6" x14ac:dyDescent="0.3">
      <c r="A5" s="10">
        <v>2021</v>
      </c>
      <c r="B5" s="196">
        <v>0</v>
      </c>
      <c r="C5" s="196">
        <v>0</v>
      </c>
      <c r="D5" s="196">
        <v>29.5</v>
      </c>
      <c r="E5" s="196">
        <v>0</v>
      </c>
      <c r="F5" s="196">
        <v>29.5</v>
      </c>
    </row>
    <row r="6" spans="1:6" x14ac:dyDescent="0.3">
      <c r="A6" s="10">
        <v>2022</v>
      </c>
      <c r="B6" s="196">
        <v>119.77</v>
      </c>
      <c r="C6" s="196">
        <v>30.61</v>
      </c>
      <c r="D6" s="196">
        <v>21.35</v>
      </c>
      <c r="E6" s="196">
        <v>27.22</v>
      </c>
      <c r="F6" s="196">
        <v>198.95</v>
      </c>
    </row>
    <row r="7" spans="1:6" x14ac:dyDescent="0.3">
      <c r="A7" s="10">
        <v>2023</v>
      </c>
      <c r="B7" s="196">
        <v>18.28</v>
      </c>
      <c r="C7" s="196">
        <v>-14.13</v>
      </c>
      <c r="D7" s="196">
        <v>28.33</v>
      </c>
      <c r="E7" s="196">
        <v>13.89</v>
      </c>
      <c r="F7" s="196">
        <v>46.37</v>
      </c>
    </row>
    <row r="8" spans="1:6" x14ac:dyDescent="0.3">
      <c r="A8" s="10">
        <v>2024</v>
      </c>
      <c r="B8" s="196">
        <v>5.31</v>
      </c>
      <c r="C8" s="196">
        <v>0.52</v>
      </c>
      <c r="D8" s="196">
        <v>34.840000000000003</v>
      </c>
      <c r="E8" s="196">
        <v>14.13</v>
      </c>
      <c r="F8" s="196">
        <v>54.800000000000004</v>
      </c>
    </row>
    <row r="9" spans="1:6" x14ac:dyDescent="0.3">
      <c r="A9" s="10">
        <v>2025</v>
      </c>
      <c r="B9" s="196">
        <v>16.89</v>
      </c>
      <c r="C9" s="196">
        <v>20</v>
      </c>
      <c r="D9" s="196">
        <v>36.28</v>
      </c>
      <c r="E9" s="196">
        <v>5.14</v>
      </c>
      <c r="F9" s="196">
        <v>78.31</v>
      </c>
    </row>
    <row r="10" spans="1:6" x14ac:dyDescent="0.3">
      <c r="A10" s="10" t="s">
        <v>503</v>
      </c>
      <c r="B10" s="196">
        <v>160.25</v>
      </c>
      <c r="C10" s="196">
        <v>37</v>
      </c>
      <c r="D10" s="196">
        <v>150.30000000000001</v>
      </c>
      <c r="E10" s="196">
        <v>60.38</v>
      </c>
      <c r="F10" s="196">
        <v>407.93</v>
      </c>
    </row>
    <row r="13" spans="1:6" x14ac:dyDescent="0.3">
      <c r="A13" s="9" t="s">
        <v>506</v>
      </c>
      <c r="B13" s="9" t="s">
        <v>504</v>
      </c>
    </row>
    <row r="14" spans="1:6" x14ac:dyDescent="0.3">
      <c r="A14" s="9" t="s">
        <v>502</v>
      </c>
      <c r="B14" t="s">
        <v>535</v>
      </c>
      <c r="C14" t="s">
        <v>533</v>
      </c>
      <c r="D14" t="s">
        <v>534</v>
      </c>
      <c r="E14" t="s">
        <v>536</v>
      </c>
      <c r="F14" t="s">
        <v>503</v>
      </c>
    </row>
    <row r="15" spans="1:6" x14ac:dyDescent="0.3">
      <c r="A15" s="10">
        <v>2021</v>
      </c>
      <c r="B15" s="197">
        <v>-19.079999999999998</v>
      </c>
      <c r="C15" s="197">
        <v>46.17</v>
      </c>
      <c r="D15" s="197">
        <v>16.38</v>
      </c>
      <c r="E15" s="197">
        <v>56.66</v>
      </c>
      <c r="F15" s="197">
        <v>100.13</v>
      </c>
    </row>
    <row r="16" spans="1:6" x14ac:dyDescent="0.3">
      <c r="A16" s="10">
        <v>2022</v>
      </c>
      <c r="B16" s="197">
        <v>7.57</v>
      </c>
      <c r="C16" s="197">
        <v>48.42</v>
      </c>
      <c r="D16" s="197">
        <v>11.27</v>
      </c>
      <c r="E16" s="197">
        <v>59.45</v>
      </c>
      <c r="F16" s="197">
        <v>126.71000000000001</v>
      </c>
    </row>
    <row r="17" spans="1:6" x14ac:dyDescent="0.3">
      <c r="A17" s="10">
        <v>2023</v>
      </c>
      <c r="B17" s="197">
        <v>13.07</v>
      </c>
      <c r="C17" s="197">
        <v>39.869999999999997</v>
      </c>
      <c r="D17" s="197">
        <v>15.4</v>
      </c>
      <c r="E17" s="197">
        <v>11.23</v>
      </c>
      <c r="F17" s="197">
        <v>79.570000000000007</v>
      </c>
    </row>
    <row r="18" spans="1:6" x14ac:dyDescent="0.3">
      <c r="A18" s="10">
        <v>2024</v>
      </c>
      <c r="B18" s="197">
        <v>13.03</v>
      </c>
      <c r="C18" s="197">
        <v>37.68</v>
      </c>
      <c r="D18" s="197">
        <v>22.29</v>
      </c>
      <c r="E18" s="197">
        <v>63.17</v>
      </c>
      <c r="F18" s="197">
        <v>136.17000000000002</v>
      </c>
    </row>
    <row r="19" spans="1:6" x14ac:dyDescent="0.3">
      <c r="A19" s="10">
        <v>2025</v>
      </c>
      <c r="B19" s="197">
        <v>15.19</v>
      </c>
      <c r="C19" s="197">
        <v>40.58</v>
      </c>
      <c r="D19" s="197">
        <v>23.14</v>
      </c>
      <c r="E19" s="197">
        <v>67.94</v>
      </c>
      <c r="F19" s="197">
        <v>146.85</v>
      </c>
    </row>
    <row r="20" spans="1:6" x14ac:dyDescent="0.3">
      <c r="A20" s="10" t="s">
        <v>503</v>
      </c>
      <c r="B20" s="197">
        <v>29.78</v>
      </c>
      <c r="C20" s="197">
        <v>212.72000000000003</v>
      </c>
      <c r="D20" s="197">
        <v>88.48</v>
      </c>
      <c r="E20" s="197">
        <v>258.45</v>
      </c>
      <c r="F20" s="197">
        <v>589.43000000000006</v>
      </c>
    </row>
    <row r="23" spans="1:6" x14ac:dyDescent="0.3">
      <c r="A23" s="9" t="s">
        <v>511</v>
      </c>
      <c r="B23" s="9" t="s">
        <v>504</v>
      </c>
    </row>
    <row r="24" spans="1:6" x14ac:dyDescent="0.3">
      <c r="A24" s="9" t="s">
        <v>502</v>
      </c>
      <c r="B24" t="s">
        <v>535</v>
      </c>
      <c r="C24" t="s">
        <v>533</v>
      </c>
      <c r="D24" t="s">
        <v>534</v>
      </c>
      <c r="E24" t="s">
        <v>536</v>
      </c>
      <c r="F24" t="s">
        <v>503</v>
      </c>
    </row>
    <row r="25" spans="1:6" x14ac:dyDescent="0.3">
      <c r="A25" s="10">
        <v>2021</v>
      </c>
      <c r="B25" s="196">
        <v>-191.76</v>
      </c>
      <c r="C25" s="196">
        <v>1734.24</v>
      </c>
      <c r="D25" s="196">
        <v>84.32</v>
      </c>
      <c r="E25" s="196">
        <v>0</v>
      </c>
      <c r="F25" s="196">
        <v>1626.8</v>
      </c>
    </row>
    <row r="26" spans="1:6" x14ac:dyDescent="0.3">
      <c r="A26" s="10">
        <v>2022</v>
      </c>
      <c r="B26" s="196">
        <v>141.09</v>
      </c>
      <c r="C26" s="196">
        <v>2485.17</v>
      </c>
      <c r="D26" s="196">
        <v>80.95</v>
      </c>
      <c r="E26" s="196">
        <v>145.61000000000001</v>
      </c>
      <c r="F26" s="196">
        <v>2852.82</v>
      </c>
    </row>
    <row r="27" spans="1:6" x14ac:dyDescent="0.3">
      <c r="A27" s="10">
        <v>2023</v>
      </c>
      <c r="B27" s="196">
        <v>16.5</v>
      </c>
      <c r="C27" s="196">
        <v>1520</v>
      </c>
      <c r="D27" s="196">
        <v>284.38</v>
      </c>
      <c r="E27" s="196">
        <v>65.63</v>
      </c>
      <c r="F27" s="196">
        <v>1886.5100000000002</v>
      </c>
    </row>
    <row r="28" spans="1:6" x14ac:dyDescent="0.3">
      <c r="A28" s="10">
        <v>2024</v>
      </c>
      <c r="B28" s="196">
        <v>18.14</v>
      </c>
      <c r="C28" s="196">
        <v>722</v>
      </c>
      <c r="D28" s="196">
        <v>311.41000000000003</v>
      </c>
      <c r="E28" s="196">
        <v>353.89</v>
      </c>
      <c r="F28" s="196">
        <v>1405.44</v>
      </c>
    </row>
    <row r="29" spans="1:6" x14ac:dyDescent="0.3">
      <c r="A29" s="10">
        <v>2025</v>
      </c>
      <c r="B29" s="196">
        <v>59.86</v>
      </c>
      <c r="C29" s="196">
        <v>1866.5</v>
      </c>
      <c r="D29" s="196">
        <v>76.3</v>
      </c>
      <c r="E29" s="196">
        <v>4083.95</v>
      </c>
      <c r="F29" s="196">
        <v>6086.61</v>
      </c>
    </row>
    <row r="30" spans="1:6" x14ac:dyDescent="0.3">
      <c r="A30" s="10" t="s">
        <v>503</v>
      </c>
      <c r="B30" s="196">
        <v>43.830000000000013</v>
      </c>
      <c r="C30" s="196">
        <v>8327.91</v>
      </c>
      <c r="D30" s="196">
        <v>837.3599999999999</v>
      </c>
      <c r="E30" s="196">
        <v>4649.08</v>
      </c>
      <c r="F30" s="196">
        <v>13858.18</v>
      </c>
    </row>
    <row r="33" spans="1:6" x14ac:dyDescent="0.3">
      <c r="A33" s="9" t="s">
        <v>509</v>
      </c>
      <c r="B33" s="9" t="s">
        <v>504</v>
      </c>
    </row>
    <row r="34" spans="1:6" x14ac:dyDescent="0.3">
      <c r="A34" s="9" t="s">
        <v>502</v>
      </c>
      <c r="B34" t="s">
        <v>535</v>
      </c>
      <c r="C34" t="s">
        <v>533</v>
      </c>
      <c r="D34" t="s">
        <v>534</v>
      </c>
      <c r="E34" t="s">
        <v>536</v>
      </c>
      <c r="F34" t="s">
        <v>503</v>
      </c>
    </row>
    <row r="35" spans="1:6" x14ac:dyDescent="0.3">
      <c r="A35" s="10">
        <v>2021</v>
      </c>
      <c r="B35" s="198">
        <v>1.4</v>
      </c>
      <c r="C35" s="198">
        <v>5.63</v>
      </c>
      <c r="D35" s="198">
        <v>2.4</v>
      </c>
      <c r="E35" s="198">
        <v>2.58</v>
      </c>
      <c r="F35" s="198">
        <v>12.01</v>
      </c>
    </row>
    <row r="36" spans="1:6" x14ac:dyDescent="0.3">
      <c r="A36" s="10">
        <v>2022</v>
      </c>
      <c r="B36" s="198">
        <v>1.48</v>
      </c>
      <c r="C36" s="198">
        <v>7.1</v>
      </c>
      <c r="D36" s="198">
        <v>2.23</v>
      </c>
      <c r="E36" s="198">
        <v>2.31</v>
      </c>
      <c r="F36" s="198">
        <v>13.120000000000001</v>
      </c>
    </row>
    <row r="37" spans="1:6" x14ac:dyDescent="0.3">
      <c r="A37" s="10">
        <v>2023</v>
      </c>
      <c r="B37" s="198">
        <v>1.63</v>
      </c>
      <c r="C37" s="198">
        <v>8.56</v>
      </c>
      <c r="D37" s="198">
        <v>3.11</v>
      </c>
      <c r="E37" s="198">
        <v>2.95</v>
      </c>
      <c r="F37" s="198">
        <v>16.25</v>
      </c>
    </row>
    <row r="38" spans="1:6" x14ac:dyDescent="0.3">
      <c r="A38" s="10">
        <v>2024</v>
      </c>
      <c r="B38" s="198">
        <v>1.97</v>
      </c>
      <c r="C38" s="198">
        <v>7.6</v>
      </c>
      <c r="D38" s="198">
        <v>3.22</v>
      </c>
      <c r="E38" s="198">
        <v>2.64</v>
      </c>
      <c r="F38" s="198">
        <v>15.430000000000001</v>
      </c>
    </row>
    <row r="39" spans="1:6" x14ac:dyDescent="0.3">
      <c r="A39" s="10">
        <v>2025</v>
      </c>
      <c r="B39" s="198">
        <v>1.82</v>
      </c>
      <c r="C39" s="198">
        <v>7.04</v>
      </c>
      <c r="D39" s="198">
        <v>1.91</v>
      </c>
      <c r="E39" s="198">
        <v>9.24</v>
      </c>
      <c r="F39" s="198">
        <v>20.009999999999998</v>
      </c>
    </row>
    <row r="40" spans="1:6" x14ac:dyDescent="0.3">
      <c r="A40" s="10" t="s">
        <v>503</v>
      </c>
      <c r="B40" s="198">
        <v>8.2999999999999989</v>
      </c>
      <c r="C40" s="198">
        <v>35.93</v>
      </c>
      <c r="D40" s="198">
        <v>12.870000000000001</v>
      </c>
      <c r="E40" s="198">
        <v>19.72</v>
      </c>
      <c r="F40" s="198">
        <v>76.819999999999993</v>
      </c>
    </row>
  </sheetData>
  <pageMargins left="0.7" right="0.7" top="0.75" bottom="0.75" header="0.3" footer="0.3"/>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928F-59FD-49A6-8C51-D6658DB21A00}">
  <dimension ref="B1:M23"/>
  <sheetViews>
    <sheetView workbookViewId="0">
      <selection activeCell="M12" sqref="M12"/>
    </sheetView>
  </sheetViews>
  <sheetFormatPr defaultRowHeight="14.4" x14ac:dyDescent="0.3"/>
  <cols>
    <col min="2" max="2" width="16.109375" customWidth="1"/>
    <col min="3" max="3" width="6.88671875" bestFit="1" customWidth="1"/>
    <col min="4" max="4" width="17.33203125" bestFit="1" customWidth="1"/>
    <col min="5" max="5" width="15.21875" customWidth="1"/>
    <col min="6" max="6" width="17" customWidth="1"/>
    <col min="7" max="7" width="16.88671875" customWidth="1"/>
    <col min="8" max="8" width="14.109375" customWidth="1"/>
    <col min="9" max="9" width="17.77734375" customWidth="1"/>
    <col min="10" max="10" width="22.44140625" customWidth="1"/>
    <col min="11" max="11" width="15.44140625" customWidth="1"/>
  </cols>
  <sheetData>
    <row r="1" spans="2:13" x14ac:dyDescent="0.3">
      <c r="M1" s="12"/>
    </row>
    <row r="3" spans="2:13" ht="15" thickBot="1" x14ac:dyDescent="0.35">
      <c r="B3" s="51" t="s">
        <v>493</v>
      </c>
      <c r="C3" s="51" t="s">
        <v>3</v>
      </c>
      <c r="D3" s="51" t="s">
        <v>442</v>
      </c>
      <c r="E3" s="51" t="s">
        <v>494</v>
      </c>
      <c r="F3" s="51" t="s">
        <v>495</v>
      </c>
      <c r="G3" s="51" t="s">
        <v>496</v>
      </c>
      <c r="H3" s="51" t="s">
        <v>497</v>
      </c>
      <c r="I3" s="51" t="s">
        <v>498</v>
      </c>
      <c r="J3" s="51" t="s">
        <v>499</v>
      </c>
      <c r="K3" s="51" t="s">
        <v>500</v>
      </c>
    </row>
    <row r="4" spans="2:13" ht="15" thickBot="1" x14ac:dyDescent="0.35">
      <c r="B4" s="47" t="s">
        <v>533</v>
      </c>
      <c r="C4" s="45">
        <v>2021</v>
      </c>
      <c r="D4" s="47" t="s">
        <v>532</v>
      </c>
      <c r="E4" s="48">
        <v>46.17</v>
      </c>
      <c r="F4" s="48">
        <v>21.02</v>
      </c>
      <c r="G4" s="48">
        <v>21.08</v>
      </c>
      <c r="H4" s="49">
        <v>5.63</v>
      </c>
      <c r="I4" s="49">
        <v>0</v>
      </c>
      <c r="J4" s="49">
        <v>1734.24</v>
      </c>
      <c r="K4" s="49">
        <v>0.73</v>
      </c>
    </row>
    <row r="5" spans="2:13" ht="15" thickBot="1" x14ac:dyDescent="0.35">
      <c r="B5" s="47" t="s">
        <v>533</v>
      </c>
      <c r="C5" s="45">
        <v>2022</v>
      </c>
      <c r="D5" s="48">
        <v>30.61</v>
      </c>
      <c r="E5" s="48">
        <v>48.42</v>
      </c>
      <c r="F5" s="48">
        <v>25.16</v>
      </c>
      <c r="G5" s="48">
        <v>25.22</v>
      </c>
      <c r="H5" s="49">
        <v>7.1</v>
      </c>
      <c r="I5" s="49">
        <v>0</v>
      </c>
      <c r="J5" s="49">
        <v>2485.17</v>
      </c>
      <c r="K5" s="49">
        <v>0.76</v>
      </c>
    </row>
    <row r="6" spans="2:13" ht="15" thickBot="1" x14ac:dyDescent="0.35">
      <c r="B6" s="47" t="s">
        <v>533</v>
      </c>
      <c r="C6" s="45">
        <v>2023</v>
      </c>
      <c r="D6" s="48">
        <v>-14.13</v>
      </c>
      <c r="E6" s="48">
        <v>39.869999999999997</v>
      </c>
      <c r="F6" s="48">
        <v>14.2</v>
      </c>
      <c r="G6" s="48">
        <v>14.23</v>
      </c>
      <c r="H6" s="49">
        <v>8.56</v>
      </c>
      <c r="I6" s="49">
        <v>0</v>
      </c>
      <c r="J6" s="49">
        <v>1520</v>
      </c>
      <c r="K6" s="49">
        <v>0.6</v>
      </c>
    </row>
    <row r="7" spans="2:13" ht="15" thickBot="1" x14ac:dyDescent="0.35">
      <c r="B7" s="47" t="s">
        <v>533</v>
      </c>
      <c r="C7" s="45">
        <v>2024</v>
      </c>
      <c r="D7" s="48">
        <v>0.52</v>
      </c>
      <c r="E7" s="48">
        <v>37.68</v>
      </c>
      <c r="F7" s="48">
        <v>11.66</v>
      </c>
      <c r="G7" s="48">
        <v>11.69</v>
      </c>
      <c r="H7" s="49">
        <v>7.6</v>
      </c>
      <c r="I7" s="49">
        <v>0</v>
      </c>
      <c r="J7" s="49">
        <v>722</v>
      </c>
      <c r="K7" s="49">
        <v>0.56999999999999995</v>
      </c>
    </row>
    <row r="8" spans="2:13" ht="15" thickBot="1" x14ac:dyDescent="0.35">
      <c r="B8" s="47" t="s">
        <v>533</v>
      </c>
      <c r="C8" s="45">
        <v>2025</v>
      </c>
      <c r="D8" s="48">
        <v>20</v>
      </c>
      <c r="E8" s="48">
        <v>40.58</v>
      </c>
      <c r="F8" s="48">
        <v>14.83</v>
      </c>
      <c r="G8" s="48">
        <v>14.83</v>
      </c>
      <c r="H8" s="49">
        <v>7.04</v>
      </c>
      <c r="I8" s="49">
        <v>0</v>
      </c>
      <c r="J8" s="49">
        <v>1866.5</v>
      </c>
      <c r="K8" s="49">
        <v>0.62</v>
      </c>
    </row>
    <row r="9" spans="2:13" ht="15" thickBot="1" x14ac:dyDescent="0.35">
      <c r="B9" s="50" t="s">
        <v>534</v>
      </c>
      <c r="C9" s="51">
        <v>2021</v>
      </c>
      <c r="D9" s="52">
        <v>29.5</v>
      </c>
      <c r="E9" s="52">
        <v>16.38</v>
      </c>
      <c r="F9" s="52">
        <v>10.11</v>
      </c>
      <c r="G9" s="52">
        <v>12.87</v>
      </c>
      <c r="H9" s="53">
        <v>2.4</v>
      </c>
      <c r="I9" s="53">
        <v>7.0000000000000007E-2</v>
      </c>
      <c r="J9" s="53">
        <v>84.32</v>
      </c>
      <c r="K9" s="53">
        <v>0.62</v>
      </c>
    </row>
    <row r="10" spans="2:13" ht="15" thickBot="1" x14ac:dyDescent="0.35">
      <c r="B10" s="50" t="s">
        <v>534</v>
      </c>
      <c r="C10" s="51">
        <v>2022</v>
      </c>
      <c r="D10" s="52">
        <v>21.35</v>
      </c>
      <c r="E10" s="52">
        <v>11.27</v>
      </c>
      <c r="F10" s="52">
        <v>6.63</v>
      </c>
      <c r="G10" s="52">
        <v>8.85</v>
      </c>
      <c r="H10" s="53">
        <v>2.23</v>
      </c>
      <c r="I10" s="53">
        <v>0.12</v>
      </c>
      <c r="J10" s="53">
        <v>80.95</v>
      </c>
      <c r="K10" s="53">
        <v>0.59</v>
      </c>
    </row>
    <row r="11" spans="2:13" ht="15" thickBot="1" x14ac:dyDescent="0.35">
      <c r="B11" s="50" t="s">
        <v>534</v>
      </c>
      <c r="C11" s="51">
        <v>2023</v>
      </c>
      <c r="D11" s="52">
        <v>28.33</v>
      </c>
      <c r="E11" s="52">
        <v>15.4</v>
      </c>
      <c r="F11" s="52">
        <v>10.3</v>
      </c>
      <c r="G11" s="52">
        <v>12.76</v>
      </c>
      <c r="H11" s="53">
        <v>3.11</v>
      </c>
      <c r="I11" s="53">
        <v>0</v>
      </c>
      <c r="J11" s="53">
        <v>284.38</v>
      </c>
      <c r="K11" s="53">
        <v>0.67</v>
      </c>
    </row>
    <row r="12" spans="2:13" ht="15" thickBot="1" x14ac:dyDescent="0.35">
      <c r="B12" s="50" t="s">
        <v>534</v>
      </c>
      <c r="C12" s="51">
        <v>2024</v>
      </c>
      <c r="D12" s="52">
        <v>34.840000000000003</v>
      </c>
      <c r="E12" s="52">
        <v>22.29</v>
      </c>
      <c r="F12" s="52">
        <v>14.3</v>
      </c>
      <c r="G12" s="52">
        <v>17.91</v>
      </c>
      <c r="H12" s="53">
        <v>3.22</v>
      </c>
      <c r="I12" s="53">
        <v>0.03</v>
      </c>
      <c r="J12" s="53">
        <v>311.41000000000003</v>
      </c>
      <c r="K12" s="53">
        <v>0.64</v>
      </c>
    </row>
    <row r="13" spans="2:13" ht="15" thickBot="1" x14ac:dyDescent="0.35">
      <c r="B13" s="50" t="s">
        <v>534</v>
      </c>
      <c r="C13" s="51">
        <v>2025</v>
      </c>
      <c r="D13" s="52">
        <v>36.28</v>
      </c>
      <c r="E13" s="52">
        <v>23.14</v>
      </c>
      <c r="F13" s="52">
        <v>13.97</v>
      </c>
      <c r="G13" s="52">
        <v>18.54</v>
      </c>
      <c r="H13" s="53">
        <v>1.91</v>
      </c>
      <c r="I13" s="53">
        <v>0.12</v>
      </c>
      <c r="J13" s="53">
        <v>76.3</v>
      </c>
      <c r="K13" s="53">
        <v>0.6</v>
      </c>
    </row>
    <row r="14" spans="2:13" ht="15" thickBot="1" x14ac:dyDescent="0.35">
      <c r="B14" s="50" t="s">
        <v>535</v>
      </c>
      <c r="C14" s="51">
        <v>2021</v>
      </c>
      <c r="D14" s="50" t="s">
        <v>532</v>
      </c>
      <c r="E14" s="52">
        <v>-19.079999999999998</v>
      </c>
      <c r="F14" s="52">
        <v>-16.059999999999999</v>
      </c>
      <c r="G14" s="52">
        <v>-44.02</v>
      </c>
      <c r="H14" s="53">
        <v>1.4</v>
      </c>
      <c r="I14" s="53">
        <v>0</v>
      </c>
      <c r="J14" s="53">
        <v>-191.76</v>
      </c>
      <c r="K14" s="53">
        <v>1.42</v>
      </c>
    </row>
    <row r="15" spans="2:13" ht="15" thickBot="1" x14ac:dyDescent="0.35">
      <c r="B15" s="50" t="s">
        <v>535</v>
      </c>
      <c r="C15" s="51">
        <v>2022</v>
      </c>
      <c r="D15" s="52">
        <v>119.77</v>
      </c>
      <c r="E15" s="52">
        <v>7.57</v>
      </c>
      <c r="F15" s="52">
        <v>5.3</v>
      </c>
      <c r="G15" s="52">
        <v>23.77</v>
      </c>
      <c r="H15" s="53">
        <v>1.48</v>
      </c>
      <c r="I15" s="53">
        <v>0</v>
      </c>
      <c r="J15" s="53">
        <v>141.09</v>
      </c>
      <c r="K15" s="53">
        <v>2.2200000000000002</v>
      </c>
    </row>
    <row r="16" spans="2:13" ht="15" thickBot="1" x14ac:dyDescent="0.35">
      <c r="B16" s="50" t="s">
        <v>535</v>
      </c>
      <c r="C16" s="51">
        <v>2023</v>
      </c>
      <c r="D16" s="52">
        <v>18.28</v>
      </c>
      <c r="E16" s="52">
        <v>13.07</v>
      </c>
      <c r="F16" s="52">
        <v>8.52</v>
      </c>
      <c r="G16" s="52">
        <v>50.55</v>
      </c>
      <c r="H16" s="53">
        <v>1.63</v>
      </c>
      <c r="I16" s="53">
        <v>0.77</v>
      </c>
      <c r="J16" s="53">
        <v>16.5</v>
      </c>
      <c r="K16" s="53">
        <v>1.84</v>
      </c>
    </row>
    <row r="17" spans="2:11" ht="15" thickBot="1" x14ac:dyDescent="0.35">
      <c r="B17" s="50" t="s">
        <v>535</v>
      </c>
      <c r="C17" s="51">
        <v>2024</v>
      </c>
      <c r="D17" s="52">
        <v>5.31</v>
      </c>
      <c r="E17" s="52">
        <v>13.03</v>
      </c>
      <c r="F17" s="52">
        <v>8.26</v>
      </c>
      <c r="G17" s="52">
        <v>31.71</v>
      </c>
      <c r="H17" s="53">
        <v>1.97</v>
      </c>
      <c r="I17" s="53">
        <v>0.18</v>
      </c>
      <c r="J17" s="53">
        <v>18.14</v>
      </c>
      <c r="K17" s="53">
        <v>1.94</v>
      </c>
    </row>
    <row r="18" spans="2:11" ht="15" thickBot="1" x14ac:dyDescent="0.35">
      <c r="B18" s="50" t="s">
        <v>535</v>
      </c>
      <c r="C18" s="51">
        <v>2025</v>
      </c>
      <c r="D18" s="52">
        <v>16.89</v>
      </c>
      <c r="E18" s="52">
        <v>15.19</v>
      </c>
      <c r="F18" s="52">
        <v>9.6999999999999993</v>
      </c>
      <c r="G18" s="52">
        <v>28.85</v>
      </c>
      <c r="H18" s="53">
        <v>1.82</v>
      </c>
      <c r="I18" s="53">
        <v>0</v>
      </c>
      <c r="J18" s="53">
        <v>59.86</v>
      </c>
      <c r="K18" s="53">
        <v>1.77</v>
      </c>
    </row>
    <row r="19" spans="2:11" ht="15" thickBot="1" x14ac:dyDescent="0.35">
      <c r="B19" s="50" t="s">
        <v>536</v>
      </c>
      <c r="C19" s="51">
        <v>2021</v>
      </c>
      <c r="D19" s="50" t="s">
        <v>532</v>
      </c>
      <c r="E19" s="52">
        <v>56.66</v>
      </c>
      <c r="F19" s="52">
        <v>8.02</v>
      </c>
      <c r="G19" s="52">
        <v>8.32</v>
      </c>
      <c r="H19" s="53">
        <v>2.58</v>
      </c>
      <c r="I19" s="50">
        <v>0.03</v>
      </c>
      <c r="J19" s="50" t="s">
        <v>532</v>
      </c>
      <c r="K19" s="50">
        <v>0.3</v>
      </c>
    </row>
    <row r="20" spans="2:11" ht="15" thickBot="1" x14ac:dyDescent="0.35">
      <c r="B20" s="50" t="s">
        <v>536</v>
      </c>
      <c r="C20" s="51">
        <v>2022</v>
      </c>
      <c r="D20" s="52">
        <v>27.22</v>
      </c>
      <c r="E20" s="52">
        <v>59.45</v>
      </c>
      <c r="F20" s="52">
        <v>8.02</v>
      </c>
      <c r="G20" s="52">
        <v>11.32</v>
      </c>
      <c r="H20" s="53">
        <v>2.31</v>
      </c>
      <c r="I20" s="50">
        <v>0.02</v>
      </c>
      <c r="J20" s="50">
        <v>145.61000000000001</v>
      </c>
      <c r="K20" s="50">
        <v>0.34</v>
      </c>
    </row>
    <row r="21" spans="2:11" ht="15" thickBot="1" x14ac:dyDescent="0.35">
      <c r="B21" s="50" t="s">
        <v>536</v>
      </c>
      <c r="C21" s="51">
        <v>2023</v>
      </c>
      <c r="D21" s="52">
        <v>13.89</v>
      </c>
      <c r="E21" s="52">
        <v>11.23</v>
      </c>
      <c r="F21" s="52">
        <v>-5.58</v>
      </c>
      <c r="G21" s="52">
        <v>-5.66</v>
      </c>
      <c r="H21" s="53">
        <v>2.95</v>
      </c>
      <c r="I21" s="50">
        <v>0.01</v>
      </c>
      <c r="J21" s="50">
        <v>65.63</v>
      </c>
      <c r="K21" s="50">
        <v>0.41</v>
      </c>
    </row>
    <row r="22" spans="2:11" ht="15" thickBot="1" x14ac:dyDescent="0.35">
      <c r="B22" s="50" t="s">
        <v>536</v>
      </c>
      <c r="C22" s="51">
        <v>2024</v>
      </c>
      <c r="D22" s="52">
        <v>14.13</v>
      </c>
      <c r="E22" s="52">
        <v>63.17</v>
      </c>
      <c r="F22" s="52">
        <v>16.45</v>
      </c>
      <c r="G22" s="52">
        <v>16.53</v>
      </c>
      <c r="H22" s="53">
        <v>2.64</v>
      </c>
      <c r="I22" s="50">
        <v>0</v>
      </c>
      <c r="J22" s="50">
        <v>353.89</v>
      </c>
      <c r="K22" s="50">
        <v>0.4</v>
      </c>
    </row>
    <row r="23" spans="2:11" ht="15" thickBot="1" x14ac:dyDescent="0.35">
      <c r="B23" s="50" t="s">
        <v>536</v>
      </c>
      <c r="C23" s="51">
        <v>2025</v>
      </c>
      <c r="D23" s="52">
        <v>5.14</v>
      </c>
      <c r="E23" s="52">
        <v>67.94</v>
      </c>
      <c r="F23" s="52">
        <v>17.96</v>
      </c>
      <c r="G23" s="52">
        <v>18.02</v>
      </c>
      <c r="H23" s="53">
        <v>9.24</v>
      </c>
      <c r="I23" s="50">
        <v>0</v>
      </c>
      <c r="J23" s="50">
        <v>4083.95</v>
      </c>
      <c r="K23" s="50">
        <v>0.34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A5AC0-C743-424B-9383-CC950B78067C}">
  <dimension ref="B5:Q38"/>
  <sheetViews>
    <sheetView showGridLines="0" tabSelected="1" workbookViewId="0">
      <selection activeCell="U8" sqref="U8"/>
    </sheetView>
  </sheetViews>
  <sheetFormatPr defaultRowHeight="14.4" x14ac:dyDescent="0.3"/>
  <cols>
    <col min="1" max="1" width="8.88671875" customWidth="1"/>
    <col min="2" max="2" width="3.21875" customWidth="1"/>
    <col min="17" max="17" width="9.33203125" customWidth="1"/>
  </cols>
  <sheetData>
    <row r="5" spans="2:17" x14ac:dyDescent="0.3">
      <c r="B5" s="199"/>
      <c r="C5" s="200"/>
      <c r="D5" s="200"/>
      <c r="E5" s="200"/>
      <c r="F5" s="200"/>
      <c r="G5" s="200"/>
      <c r="H5" s="200"/>
      <c r="I5" s="200"/>
      <c r="J5" s="200"/>
      <c r="K5" s="200"/>
      <c r="L5" s="200"/>
      <c r="M5" s="200"/>
      <c r="N5" s="200"/>
      <c r="O5" s="200"/>
      <c r="P5" s="200"/>
      <c r="Q5" s="201"/>
    </row>
    <row r="6" spans="2:17" ht="15.6" x14ac:dyDescent="0.3">
      <c r="B6" s="202"/>
      <c r="C6" s="203"/>
      <c r="D6" s="203"/>
      <c r="E6" s="203"/>
      <c r="F6" s="203"/>
      <c r="G6" s="203"/>
      <c r="H6" s="204" t="s">
        <v>561</v>
      </c>
      <c r="I6" s="205"/>
      <c r="J6" s="205"/>
      <c r="K6" s="205"/>
      <c r="L6" s="203"/>
      <c r="M6" s="203"/>
      <c r="N6" s="203"/>
      <c r="O6" s="203"/>
      <c r="P6" s="203"/>
      <c r="Q6" s="206"/>
    </row>
    <row r="7" spans="2:17" x14ac:dyDescent="0.3">
      <c r="B7" s="202"/>
      <c r="C7" s="203"/>
      <c r="D7" s="203"/>
      <c r="E7" s="203"/>
      <c r="F7" s="203"/>
      <c r="G7" s="203"/>
      <c r="H7" s="203"/>
      <c r="I7" s="203"/>
      <c r="J7" s="203"/>
      <c r="K7" s="203"/>
      <c r="L7" s="203"/>
      <c r="M7" s="203"/>
      <c r="N7" s="203"/>
      <c r="O7" s="203"/>
      <c r="P7" s="203"/>
      <c r="Q7" s="206"/>
    </row>
    <row r="8" spans="2:17" x14ac:dyDescent="0.3">
      <c r="B8" s="202"/>
      <c r="C8" s="203"/>
      <c r="D8" s="203"/>
      <c r="E8" s="203"/>
      <c r="F8" s="203"/>
      <c r="G8" s="203"/>
      <c r="H8" s="203"/>
      <c r="I8" s="203"/>
      <c r="J8" s="203"/>
      <c r="K8" s="203"/>
      <c r="L8" s="203"/>
      <c r="M8" s="203"/>
      <c r="N8" s="203"/>
      <c r="O8" s="203"/>
      <c r="P8" s="203"/>
      <c r="Q8" s="206"/>
    </row>
    <row r="9" spans="2:17" x14ac:dyDescent="0.3">
      <c r="B9" s="202"/>
      <c r="C9" s="203"/>
      <c r="D9" s="203"/>
      <c r="E9" s="203"/>
      <c r="F9" s="203"/>
      <c r="G9" s="203"/>
      <c r="H9" s="203"/>
      <c r="I9" s="203"/>
      <c r="J9" s="203"/>
      <c r="K9" s="203"/>
      <c r="L9" s="203"/>
      <c r="M9" s="203"/>
      <c r="N9" s="203"/>
      <c r="O9" s="203"/>
      <c r="P9" s="203"/>
      <c r="Q9" s="206"/>
    </row>
    <row r="10" spans="2:17" x14ac:dyDescent="0.3">
      <c r="B10" s="202"/>
      <c r="C10" s="203"/>
      <c r="D10" s="203"/>
      <c r="E10" s="203"/>
      <c r="F10" s="203"/>
      <c r="G10" s="203"/>
      <c r="H10" s="203"/>
      <c r="I10" s="203"/>
      <c r="J10" s="203"/>
      <c r="K10" s="203"/>
      <c r="L10" s="203"/>
      <c r="M10" s="203"/>
      <c r="N10" s="203"/>
      <c r="O10" s="203"/>
      <c r="P10" s="203"/>
      <c r="Q10" s="206"/>
    </row>
    <row r="11" spans="2:17" x14ac:dyDescent="0.3">
      <c r="B11" s="202"/>
      <c r="C11" s="203"/>
      <c r="D11" s="203"/>
      <c r="E11" s="203"/>
      <c r="F11" s="203"/>
      <c r="G11" s="203"/>
      <c r="H11" s="203"/>
      <c r="I11" s="203"/>
      <c r="J11" s="203"/>
      <c r="K11" s="203"/>
      <c r="L11" s="203"/>
      <c r="M11" s="203"/>
      <c r="N11" s="203"/>
      <c r="O11" s="203"/>
      <c r="P11" s="203"/>
      <c r="Q11" s="206"/>
    </row>
    <row r="12" spans="2:17" x14ac:dyDescent="0.3">
      <c r="B12" s="202"/>
      <c r="C12" s="203"/>
      <c r="D12" s="203"/>
      <c r="E12" s="203"/>
      <c r="F12" s="203"/>
      <c r="G12" s="203"/>
      <c r="H12" s="203"/>
      <c r="I12" s="203"/>
      <c r="J12" s="203"/>
      <c r="K12" s="203"/>
      <c r="L12" s="203"/>
      <c r="M12" s="203"/>
      <c r="N12" s="203"/>
      <c r="O12" s="203"/>
      <c r="P12" s="203"/>
      <c r="Q12" s="206"/>
    </row>
    <row r="13" spans="2:17" x14ac:dyDescent="0.3">
      <c r="B13" s="202"/>
      <c r="C13" s="203"/>
      <c r="D13" s="203"/>
      <c r="E13" s="203"/>
      <c r="F13" s="203"/>
      <c r="G13" s="203"/>
      <c r="H13" s="203"/>
      <c r="I13" s="203"/>
      <c r="J13" s="203"/>
      <c r="K13" s="203"/>
      <c r="L13" s="203"/>
      <c r="M13" s="203"/>
      <c r="N13" s="203"/>
      <c r="O13" s="203"/>
      <c r="P13" s="203"/>
      <c r="Q13" s="206"/>
    </row>
    <row r="14" spans="2:17" x14ac:dyDescent="0.3">
      <c r="B14" s="202"/>
      <c r="C14" s="203"/>
      <c r="D14" s="203"/>
      <c r="E14" s="203"/>
      <c r="F14" s="203"/>
      <c r="G14" s="203"/>
      <c r="H14" s="203"/>
      <c r="I14" s="203"/>
      <c r="J14" s="203"/>
      <c r="K14" s="203"/>
      <c r="L14" s="203"/>
      <c r="M14" s="203"/>
      <c r="N14" s="203"/>
      <c r="O14" s="203"/>
      <c r="P14" s="203"/>
      <c r="Q14" s="206"/>
    </row>
    <row r="15" spans="2:17" x14ac:dyDescent="0.3">
      <c r="B15" s="202"/>
      <c r="C15" s="203"/>
      <c r="D15" s="203"/>
      <c r="E15" s="203"/>
      <c r="F15" s="203"/>
      <c r="G15" s="203"/>
      <c r="H15" s="203"/>
      <c r="I15" s="203"/>
      <c r="J15" s="203"/>
      <c r="K15" s="203"/>
      <c r="L15" s="203"/>
      <c r="M15" s="203"/>
      <c r="N15" s="203"/>
      <c r="O15" s="203"/>
      <c r="P15" s="203"/>
      <c r="Q15" s="206"/>
    </row>
    <row r="16" spans="2:17" x14ac:dyDescent="0.3">
      <c r="B16" s="202"/>
      <c r="C16" s="203"/>
      <c r="D16" s="203"/>
      <c r="E16" s="203"/>
      <c r="F16" s="203"/>
      <c r="G16" s="203"/>
      <c r="H16" s="203"/>
      <c r="I16" s="203"/>
      <c r="J16" s="203"/>
      <c r="K16" s="203"/>
      <c r="L16" s="203"/>
      <c r="M16" s="203"/>
      <c r="N16" s="203"/>
      <c r="O16" s="203"/>
      <c r="P16" s="203"/>
      <c r="Q16" s="206"/>
    </row>
    <row r="17" spans="2:17" x14ac:dyDescent="0.3">
      <c r="B17" s="202"/>
      <c r="C17" s="203"/>
      <c r="D17" s="203"/>
      <c r="E17" s="203"/>
      <c r="F17" s="203"/>
      <c r="G17" s="203"/>
      <c r="H17" s="203"/>
      <c r="I17" s="203"/>
      <c r="J17" s="203"/>
      <c r="K17" s="203"/>
      <c r="L17" s="203"/>
      <c r="M17" s="203"/>
      <c r="N17" s="203"/>
      <c r="O17" s="203"/>
      <c r="P17" s="203"/>
      <c r="Q17" s="206"/>
    </row>
    <row r="18" spans="2:17" x14ac:dyDescent="0.3">
      <c r="B18" s="202"/>
      <c r="C18" s="203"/>
      <c r="D18" s="203"/>
      <c r="E18" s="203"/>
      <c r="F18" s="203"/>
      <c r="G18" s="203"/>
      <c r="H18" s="203"/>
      <c r="I18" s="203"/>
      <c r="J18" s="203"/>
      <c r="K18" s="203"/>
      <c r="L18" s="203"/>
      <c r="M18" s="203"/>
      <c r="N18" s="203"/>
      <c r="O18" s="203"/>
      <c r="P18" s="203"/>
      <c r="Q18" s="206"/>
    </row>
    <row r="19" spans="2:17" x14ac:dyDescent="0.3">
      <c r="B19" s="202"/>
      <c r="C19" s="203"/>
      <c r="D19" s="203"/>
      <c r="E19" s="203"/>
      <c r="F19" s="203"/>
      <c r="G19" s="203"/>
      <c r="H19" s="203"/>
      <c r="I19" s="203"/>
      <c r="J19" s="203"/>
      <c r="K19" s="203"/>
      <c r="L19" s="203"/>
      <c r="M19" s="203"/>
      <c r="N19" s="203"/>
      <c r="O19" s="203"/>
      <c r="P19" s="203"/>
      <c r="Q19" s="206"/>
    </row>
    <row r="20" spans="2:17" x14ac:dyDescent="0.3">
      <c r="B20" s="202"/>
      <c r="C20" s="203"/>
      <c r="D20" s="203"/>
      <c r="E20" s="203"/>
      <c r="F20" s="203"/>
      <c r="G20" s="203"/>
      <c r="H20" s="203"/>
      <c r="I20" s="203"/>
      <c r="J20" s="203"/>
      <c r="K20" s="203"/>
      <c r="L20" s="203"/>
      <c r="M20" s="203"/>
      <c r="N20" s="203"/>
      <c r="O20" s="203"/>
      <c r="P20" s="203"/>
      <c r="Q20" s="206"/>
    </row>
    <row r="21" spans="2:17" x14ac:dyDescent="0.3">
      <c r="B21" s="202"/>
      <c r="C21" s="203"/>
      <c r="D21" s="203"/>
      <c r="E21" s="203"/>
      <c r="F21" s="203"/>
      <c r="G21" s="203"/>
      <c r="H21" s="203"/>
      <c r="I21" s="203"/>
      <c r="J21" s="203"/>
      <c r="K21" s="203"/>
      <c r="L21" s="203"/>
      <c r="M21" s="203"/>
      <c r="N21" s="203"/>
      <c r="O21" s="203"/>
      <c r="P21" s="203"/>
      <c r="Q21" s="206"/>
    </row>
    <row r="22" spans="2:17" x14ac:dyDescent="0.3">
      <c r="B22" s="202"/>
      <c r="C22" s="203"/>
      <c r="D22" s="203"/>
      <c r="E22" s="203"/>
      <c r="F22" s="203"/>
      <c r="G22" s="203"/>
      <c r="H22" s="203"/>
      <c r="I22" s="203"/>
      <c r="J22" s="203"/>
      <c r="K22" s="203"/>
      <c r="L22" s="203"/>
      <c r="M22" s="203"/>
      <c r="N22" s="203"/>
      <c r="O22" s="203"/>
      <c r="P22" s="203"/>
      <c r="Q22" s="206"/>
    </row>
    <row r="23" spans="2:17" x14ac:dyDescent="0.3">
      <c r="B23" s="202"/>
      <c r="C23" s="203"/>
      <c r="D23" s="203"/>
      <c r="E23" s="203"/>
      <c r="F23" s="203"/>
      <c r="G23" s="203"/>
      <c r="H23" s="203"/>
      <c r="I23" s="203"/>
      <c r="J23" s="203"/>
      <c r="K23" s="203"/>
      <c r="L23" s="203"/>
      <c r="M23" s="203"/>
      <c r="N23" s="203"/>
      <c r="O23" s="203"/>
      <c r="P23" s="203"/>
      <c r="Q23" s="206"/>
    </row>
    <row r="24" spans="2:17" x14ac:dyDescent="0.3">
      <c r="B24" s="202"/>
      <c r="C24" s="203"/>
      <c r="D24" s="203"/>
      <c r="E24" s="203"/>
      <c r="F24" s="203"/>
      <c r="G24" s="203"/>
      <c r="H24" s="203"/>
      <c r="I24" s="203"/>
      <c r="J24" s="203"/>
      <c r="K24" s="203"/>
      <c r="L24" s="203"/>
      <c r="M24" s="203"/>
      <c r="N24" s="203"/>
      <c r="O24" s="203"/>
      <c r="P24" s="203"/>
      <c r="Q24" s="206"/>
    </row>
    <row r="25" spans="2:17" x14ac:dyDescent="0.3">
      <c r="B25" s="202"/>
      <c r="C25" s="203"/>
      <c r="D25" s="203"/>
      <c r="E25" s="203"/>
      <c r="F25" s="203"/>
      <c r="G25" s="203"/>
      <c r="H25" s="203"/>
      <c r="I25" s="203"/>
      <c r="J25" s="203"/>
      <c r="K25" s="203"/>
      <c r="L25" s="203"/>
      <c r="M25" s="203"/>
      <c r="N25" s="203"/>
      <c r="O25" s="203"/>
      <c r="P25" s="203"/>
      <c r="Q25" s="206"/>
    </row>
    <row r="26" spans="2:17" x14ac:dyDescent="0.3">
      <c r="B26" s="202"/>
      <c r="C26" s="203"/>
      <c r="D26" s="203"/>
      <c r="E26" s="203"/>
      <c r="F26" s="203"/>
      <c r="G26" s="203"/>
      <c r="H26" s="203"/>
      <c r="I26" s="203"/>
      <c r="J26" s="203"/>
      <c r="K26" s="203"/>
      <c r="L26" s="203"/>
      <c r="M26" s="203"/>
      <c r="N26" s="203"/>
      <c r="O26" s="203"/>
      <c r="P26" s="203"/>
      <c r="Q26" s="206"/>
    </row>
    <row r="27" spans="2:17" x14ac:dyDescent="0.3">
      <c r="B27" s="202"/>
      <c r="C27" s="203"/>
      <c r="D27" s="203"/>
      <c r="E27" s="203"/>
      <c r="F27" s="203"/>
      <c r="G27" s="203"/>
      <c r="H27" s="203"/>
      <c r="I27" s="203"/>
      <c r="J27" s="203"/>
      <c r="K27" s="203"/>
      <c r="L27" s="203"/>
      <c r="M27" s="203"/>
      <c r="N27" s="203"/>
      <c r="O27" s="203"/>
      <c r="P27" s="203"/>
      <c r="Q27" s="206"/>
    </row>
    <row r="28" spans="2:17" x14ac:dyDescent="0.3">
      <c r="B28" s="202"/>
      <c r="C28" s="203"/>
      <c r="D28" s="203"/>
      <c r="E28" s="203"/>
      <c r="F28" s="203"/>
      <c r="G28" s="203"/>
      <c r="H28" s="203"/>
      <c r="I28" s="203"/>
      <c r="J28" s="203"/>
      <c r="K28" s="203"/>
      <c r="L28" s="203"/>
      <c r="M28" s="203"/>
      <c r="N28" s="203"/>
      <c r="O28" s="203"/>
      <c r="P28" s="203"/>
      <c r="Q28" s="206"/>
    </row>
    <row r="29" spans="2:17" x14ac:dyDescent="0.3">
      <c r="B29" s="202"/>
      <c r="C29" s="203"/>
      <c r="D29" s="203"/>
      <c r="E29" s="203"/>
      <c r="F29" s="203"/>
      <c r="G29" s="203"/>
      <c r="H29" s="203"/>
      <c r="I29" s="203"/>
      <c r="J29" s="203"/>
      <c r="K29" s="203"/>
      <c r="L29" s="203"/>
      <c r="M29" s="203"/>
      <c r="N29" s="203"/>
      <c r="O29" s="203"/>
      <c r="P29" s="203"/>
      <c r="Q29" s="206"/>
    </row>
    <row r="30" spans="2:17" x14ac:dyDescent="0.3">
      <c r="B30" s="202"/>
      <c r="C30" s="203"/>
      <c r="D30" s="203"/>
      <c r="E30" s="203"/>
      <c r="F30" s="203"/>
      <c r="G30" s="203"/>
      <c r="H30" s="203"/>
      <c r="I30" s="203"/>
      <c r="J30" s="203"/>
      <c r="K30" s="203"/>
      <c r="L30" s="203"/>
      <c r="M30" s="203"/>
      <c r="N30" s="203"/>
      <c r="O30" s="203"/>
      <c r="P30" s="203"/>
      <c r="Q30" s="206"/>
    </row>
    <row r="31" spans="2:17" x14ac:dyDescent="0.3">
      <c r="B31" s="202"/>
      <c r="C31" s="203"/>
      <c r="D31" s="203"/>
      <c r="E31" s="203"/>
      <c r="F31" s="203"/>
      <c r="G31" s="203"/>
      <c r="H31" s="203"/>
      <c r="I31" s="203"/>
      <c r="J31" s="203"/>
      <c r="K31" s="203"/>
      <c r="L31" s="203"/>
      <c r="M31" s="203"/>
      <c r="N31" s="203"/>
      <c r="O31" s="203"/>
      <c r="P31" s="203"/>
      <c r="Q31" s="206"/>
    </row>
    <row r="32" spans="2:17" x14ac:dyDescent="0.3">
      <c r="B32" s="202"/>
      <c r="C32" s="203"/>
      <c r="D32" s="203"/>
      <c r="E32" s="203"/>
      <c r="F32" s="203"/>
      <c r="G32" s="203"/>
      <c r="H32" s="203"/>
      <c r="I32" s="203"/>
      <c r="J32" s="203"/>
      <c r="K32" s="203"/>
      <c r="L32" s="203"/>
      <c r="M32" s="203"/>
      <c r="N32" s="203"/>
      <c r="O32" s="203"/>
      <c r="P32" s="203"/>
      <c r="Q32" s="206"/>
    </row>
    <row r="33" spans="2:17" x14ac:dyDescent="0.3">
      <c r="B33" s="202"/>
      <c r="C33" s="203"/>
      <c r="D33" s="203"/>
      <c r="E33" s="203"/>
      <c r="F33" s="203"/>
      <c r="G33" s="203"/>
      <c r="H33" s="203"/>
      <c r="I33" s="203"/>
      <c r="J33" s="203"/>
      <c r="K33" s="203"/>
      <c r="L33" s="203"/>
      <c r="M33" s="203"/>
      <c r="N33" s="203"/>
      <c r="O33" s="203"/>
      <c r="P33" s="203"/>
      <c r="Q33" s="206"/>
    </row>
    <row r="34" spans="2:17" x14ac:dyDescent="0.3">
      <c r="B34" s="202"/>
      <c r="C34" s="203"/>
      <c r="D34" s="203"/>
      <c r="E34" s="203"/>
      <c r="F34" s="203"/>
      <c r="G34" s="203"/>
      <c r="H34" s="203"/>
      <c r="I34" s="203"/>
      <c r="J34" s="203"/>
      <c r="K34" s="203"/>
      <c r="L34" s="203"/>
      <c r="M34" s="203"/>
      <c r="N34" s="203"/>
      <c r="O34" s="203"/>
      <c r="P34" s="203"/>
      <c r="Q34" s="206"/>
    </row>
    <row r="35" spans="2:17" x14ac:dyDescent="0.3">
      <c r="B35" s="202"/>
      <c r="C35" s="203"/>
      <c r="D35" s="203"/>
      <c r="E35" s="203"/>
      <c r="F35" s="203"/>
      <c r="G35" s="203"/>
      <c r="H35" s="203"/>
      <c r="I35" s="203"/>
      <c r="J35" s="203"/>
      <c r="K35" s="203"/>
      <c r="L35" s="203"/>
      <c r="M35" s="203"/>
      <c r="N35" s="203"/>
      <c r="O35" s="203"/>
      <c r="P35" s="203"/>
      <c r="Q35" s="206"/>
    </row>
    <row r="36" spans="2:17" x14ac:dyDescent="0.3">
      <c r="B36" s="202"/>
      <c r="C36" s="203"/>
      <c r="D36" s="203"/>
      <c r="E36" s="203"/>
      <c r="F36" s="203"/>
      <c r="G36" s="203"/>
      <c r="H36" s="203"/>
      <c r="I36" s="203"/>
      <c r="J36" s="203"/>
      <c r="K36" s="203"/>
      <c r="L36" s="203"/>
      <c r="M36" s="203"/>
      <c r="N36" s="203"/>
      <c r="O36" s="203"/>
      <c r="P36" s="203"/>
      <c r="Q36" s="206"/>
    </row>
    <row r="37" spans="2:17" x14ac:dyDescent="0.3">
      <c r="B37" s="202"/>
      <c r="C37" s="203"/>
      <c r="D37" s="203"/>
      <c r="E37" s="203"/>
      <c r="F37" s="203"/>
      <c r="G37" s="203"/>
      <c r="H37" s="203"/>
      <c r="I37" s="203"/>
      <c r="J37" s="203"/>
      <c r="K37" s="203"/>
      <c r="L37" s="203"/>
      <c r="M37" s="203"/>
      <c r="N37" s="203"/>
      <c r="O37" s="203"/>
      <c r="P37" s="203"/>
      <c r="Q37" s="206"/>
    </row>
    <row r="38" spans="2:17" x14ac:dyDescent="0.3">
      <c r="B38" s="207"/>
      <c r="C38" s="208"/>
      <c r="D38" s="208"/>
      <c r="E38" s="208"/>
      <c r="F38" s="208"/>
      <c r="G38" s="208"/>
      <c r="H38" s="208"/>
      <c r="I38" s="208"/>
      <c r="J38" s="208"/>
      <c r="K38" s="208"/>
      <c r="L38" s="208"/>
      <c r="M38" s="208"/>
      <c r="N38" s="208"/>
      <c r="O38" s="208"/>
      <c r="P38" s="208"/>
      <c r="Q38" s="209"/>
    </row>
  </sheetData>
  <mergeCells count="1">
    <mergeCell ref="H6:K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C298-0B9C-4F66-AE7E-7C2102A6558C}">
  <dimension ref="A3:F10"/>
  <sheetViews>
    <sheetView workbookViewId="0">
      <selection activeCell="G26" sqref="G26"/>
    </sheetView>
  </sheetViews>
  <sheetFormatPr defaultRowHeight="14.4" x14ac:dyDescent="0.3"/>
  <cols>
    <col min="1" max="1" width="21.777343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505</v>
      </c>
      <c r="B3" s="9" t="s">
        <v>504</v>
      </c>
    </row>
    <row r="4" spans="1:6" x14ac:dyDescent="0.3">
      <c r="A4" s="9" t="s">
        <v>502</v>
      </c>
      <c r="B4" t="s">
        <v>487</v>
      </c>
      <c r="C4" t="s">
        <v>488</v>
      </c>
      <c r="D4" t="s">
        <v>486</v>
      </c>
      <c r="E4" t="s">
        <v>433</v>
      </c>
      <c r="F4" t="s">
        <v>503</v>
      </c>
    </row>
    <row r="5" spans="1:6" x14ac:dyDescent="0.3">
      <c r="A5" s="10">
        <v>2018</v>
      </c>
      <c r="B5" s="196">
        <v>0.159</v>
      </c>
      <c r="C5" s="196">
        <v>0.23230000000000001</v>
      </c>
      <c r="D5" s="196">
        <v>0.27110000000000001</v>
      </c>
      <c r="E5" s="196">
        <v>0.2422</v>
      </c>
      <c r="F5" s="196">
        <v>0.90459999999999996</v>
      </c>
    </row>
    <row r="6" spans="1:6" x14ac:dyDescent="0.3">
      <c r="A6" s="10">
        <v>2019</v>
      </c>
      <c r="B6" s="196">
        <v>6.8699999999999997E-2</v>
      </c>
      <c r="C6" s="196">
        <v>0.62409999999999999</v>
      </c>
      <c r="D6" s="196">
        <v>0.1613</v>
      </c>
      <c r="E6" s="196">
        <v>0.18440000000000001</v>
      </c>
      <c r="F6" s="196">
        <v>1.0385</v>
      </c>
    </row>
    <row r="7" spans="1:6" x14ac:dyDescent="0.3">
      <c r="A7" s="10">
        <v>2020</v>
      </c>
      <c r="B7" s="196">
        <v>-0.12039999999999999</v>
      </c>
      <c r="C7" s="196">
        <v>-5.3699999999999998E-2</v>
      </c>
      <c r="D7" s="196">
        <v>-0.16750000000000001</v>
      </c>
      <c r="E7" s="196">
        <v>-0.14410000000000001</v>
      </c>
      <c r="F7" s="196">
        <v>-0.48570000000000002</v>
      </c>
    </row>
    <row r="8" spans="1:6" x14ac:dyDescent="0.3">
      <c r="A8" s="10">
        <v>2021</v>
      </c>
      <c r="B8" s="196">
        <v>6.1100000000000002E-2</v>
      </c>
      <c r="C8" s="196">
        <v>0.26989999999999997</v>
      </c>
      <c r="D8" s="196">
        <v>0.10059999999999999</v>
      </c>
      <c r="E8" s="196">
        <v>0.3921</v>
      </c>
      <c r="F8" s="196">
        <v>0.82369999999999999</v>
      </c>
    </row>
    <row r="9" spans="1:6" x14ac:dyDescent="0.3">
      <c r="A9" s="10">
        <v>2022</v>
      </c>
      <c r="B9" s="196">
        <v>0.58430000000000004</v>
      </c>
      <c r="C9" s="196">
        <v>0.48409999999999997</v>
      </c>
      <c r="D9" s="196">
        <v>0.68</v>
      </c>
      <c r="E9" s="196">
        <v>0.53349999999999997</v>
      </c>
      <c r="F9" s="196">
        <v>2.2819000000000003</v>
      </c>
    </row>
    <row r="10" spans="1:6" x14ac:dyDescent="0.3">
      <c r="A10" s="10" t="s">
        <v>503</v>
      </c>
      <c r="B10" s="196">
        <v>0.75270000000000004</v>
      </c>
      <c r="C10" s="196">
        <v>1.5567</v>
      </c>
      <c r="D10" s="196">
        <v>1.0455000000000001</v>
      </c>
      <c r="E10" s="196">
        <v>1.2081</v>
      </c>
      <c r="F10" s="196">
        <v>4.5630000000000006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1DFC-AE33-4699-AE46-3183ECF6D985}">
  <dimension ref="A3:F10"/>
  <sheetViews>
    <sheetView topLeftCell="A2" workbookViewId="0">
      <selection activeCell="B5" sqref="B5:F10"/>
    </sheetView>
  </sheetViews>
  <sheetFormatPr defaultRowHeight="14.4" x14ac:dyDescent="0.3"/>
  <cols>
    <col min="1" max="1" width="20.218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506</v>
      </c>
      <c r="B3" s="9" t="s">
        <v>504</v>
      </c>
    </row>
    <row r="4" spans="1:6" x14ac:dyDescent="0.3">
      <c r="A4" s="9" t="s">
        <v>502</v>
      </c>
      <c r="B4" t="s">
        <v>487</v>
      </c>
      <c r="C4" t="s">
        <v>488</v>
      </c>
      <c r="D4" t="s">
        <v>486</v>
      </c>
      <c r="E4" t="s">
        <v>433</v>
      </c>
      <c r="F4" t="s">
        <v>503</v>
      </c>
    </row>
    <row r="5" spans="1:6" x14ac:dyDescent="0.3">
      <c r="A5" s="10">
        <v>2018</v>
      </c>
      <c r="B5" s="11">
        <v>0.1087</v>
      </c>
      <c r="C5" s="11">
        <v>0.17299999999999999</v>
      </c>
      <c r="D5" s="11">
        <v>0.2029</v>
      </c>
      <c r="E5" s="11">
        <v>0.25869999999999999</v>
      </c>
      <c r="F5" s="11">
        <v>0.74330000000000007</v>
      </c>
    </row>
    <row r="6" spans="1:6" x14ac:dyDescent="0.3">
      <c r="A6" s="10">
        <v>2019</v>
      </c>
      <c r="B6" s="11">
        <v>8.77E-2</v>
      </c>
      <c r="C6" s="11">
        <v>0.15140000000000001</v>
      </c>
      <c r="D6" s="11">
        <v>0.23980000000000001</v>
      </c>
      <c r="E6" s="11">
        <v>0.29120000000000001</v>
      </c>
      <c r="F6" s="11">
        <v>0.77010000000000001</v>
      </c>
    </row>
    <row r="7" spans="1:6" x14ac:dyDescent="0.3">
      <c r="A7" s="10">
        <v>2020</v>
      </c>
      <c r="B7" s="11">
        <v>8.9300000000000004E-2</v>
      </c>
      <c r="C7" s="11">
        <v>0.15190000000000001</v>
      </c>
      <c r="D7" s="11">
        <v>0.18970000000000001</v>
      </c>
      <c r="E7" s="11">
        <v>0.24590000000000001</v>
      </c>
      <c r="F7" s="11">
        <v>0.67680000000000007</v>
      </c>
    </row>
    <row r="8" spans="1:6" x14ac:dyDescent="0.3">
      <c r="A8" s="10">
        <v>2021</v>
      </c>
      <c r="B8" s="11">
        <v>8.8800000000000004E-2</v>
      </c>
      <c r="C8" s="11">
        <v>0.2742</v>
      </c>
      <c r="D8" s="11">
        <v>0.2717</v>
      </c>
      <c r="E8" s="11">
        <v>0.32240000000000002</v>
      </c>
      <c r="F8" s="11">
        <v>0.95710000000000006</v>
      </c>
    </row>
    <row r="9" spans="1:6" x14ac:dyDescent="0.3">
      <c r="A9" s="10">
        <v>2022</v>
      </c>
      <c r="B9" s="11">
        <v>0.16289999999999999</v>
      </c>
      <c r="C9" s="11">
        <v>0.1963</v>
      </c>
      <c r="D9" s="11">
        <v>0.2646</v>
      </c>
      <c r="E9" s="11">
        <v>0.39629999999999999</v>
      </c>
      <c r="F9" s="11">
        <v>1.0200999999999998</v>
      </c>
    </row>
    <row r="10" spans="1:6" x14ac:dyDescent="0.3">
      <c r="A10" s="10" t="s">
        <v>503</v>
      </c>
      <c r="B10" s="11">
        <v>0.53739999999999999</v>
      </c>
      <c r="C10" s="11">
        <v>0.94680000000000009</v>
      </c>
      <c r="D10" s="11">
        <v>1.1686999999999999</v>
      </c>
      <c r="E10" s="11">
        <v>1.5145</v>
      </c>
      <c r="F10" s="11">
        <v>4.1673999999999998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87B9-193C-4775-A26A-2BDD85B3EA62}">
  <dimension ref="A3:F10"/>
  <sheetViews>
    <sheetView workbookViewId="0">
      <selection activeCell="B5" sqref="B5:F10"/>
    </sheetView>
  </sheetViews>
  <sheetFormatPr defaultRowHeight="14.4" x14ac:dyDescent="0.3"/>
  <cols>
    <col min="1" max="1" width="21.77734375" bestFit="1" customWidth="1"/>
    <col min="2" max="2" width="15.5546875" bestFit="1" customWidth="1"/>
    <col min="3" max="3" width="10.33203125" bestFit="1" customWidth="1"/>
    <col min="4" max="4" width="9" bestFit="1" customWidth="1"/>
    <col min="5" max="5" width="9.21875" bestFit="1" customWidth="1"/>
    <col min="6" max="6" width="10.77734375" bestFit="1" customWidth="1"/>
    <col min="7" max="7" width="8.109375" bestFit="1" customWidth="1"/>
    <col min="8" max="8" width="10.109375" bestFit="1" customWidth="1"/>
    <col min="10" max="10" width="9.109375" bestFit="1" customWidth="1"/>
    <col min="11" max="11" width="9.5546875" bestFit="1" customWidth="1"/>
    <col min="12" max="12" width="8.109375" bestFit="1" customWidth="1"/>
    <col min="13" max="13" width="10.109375" bestFit="1" customWidth="1"/>
    <col min="15" max="15" width="9.109375" bestFit="1" customWidth="1"/>
    <col min="16" max="16" width="9.5546875" bestFit="1" customWidth="1"/>
    <col min="17" max="17" width="8.109375" bestFit="1" customWidth="1"/>
    <col min="18" max="18" width="10.109375" bestFit="1" customWidth="1"/>
    <col min="20" max="20" width="9.109375" bestFit="1" customWidth="1"/>
    <col min="21" max="21" width="9.5546875" bestFit="1" customWidth="1"/>
    <col min="22" max="22" width="8.109375" bestFit="1" customWidth="1"/>
    <col min="23" max="23" width="10.109375" bestFit="1" customWidth="1"/>
    <col min="25" max="25" width="9.109375" bestFit="1" customWidth="1"/>
    <col min="26" max="26" width="9.5546875" bestFit="1" customWidth="1"/>
    <col min="27" max="27" width="10.77734375" bestFit="1" customWidth="1"/>
  </cols>
  <sheetData>
    <row r="3" spans="1:6" x14ac:dyDescent="0.3">
      <c r="A3" s="9" t="s">
        <v>507</v>
      </c>
      <c r="B3" s="9" t="s">
        <v>504</v>
      </c>
    </row>
    <row r="4" spans="1:6" x14ac:dyDescent="0.3">
      <c r="A4" s="9" t="s">
        <v>502</v>
      </c>
      <c r="B4" t="s">
        <v>487</v>
      </c>
      <c r="C4" t="s">
        <v>488</v>
      </c>
      <c r="D4" t="s">
        <v>486</v>
      </c>
      <c r="E4" t="s">
        <v>433</v>
      </c>
      <c r="F4" t="s">
        <v>503</v>
      </c>
    </row>
    <row r="5" spans="1:6" x14ac:dyDescent="0.3">
      <c r="A5" s="10">
        <v>2018</v>
      </c>
      <c r="B5" s="1">
        <v>1.7299999999999999E-2</v>
      </c>
      <c r="C5" s="1">
        <v>-6.0000000000000001E-3</v>
      </c>
      <c r="D5" s="1">
        <v>5.3999999999999999E-2</v>
      </c>
      <c r="E5" s="1">
        <v>3.3300000000000003E-2</v>
      </c>
      <c r="F5" s="1">
        <v>9.8599999999999993E-2</v>
      </c>
    </row>
    <row r="6" spans="1:6" x14ac:dyDescent="0.3">
      <c r="A6" s="10">
        <v>2019</v>
      </c>
      <c r="B6" s="1">
        <v>1.47E-2</v>
      </c>
      <c r="C6" s="1">
        <v>-4.4999999999999997E-3</v>
      </c>
      <c r="D6" s="1">
        <v>7.5499999999999998E-2</v>
      </c>
      <c r="E6" s="1">
        <v>7.6600000000000001E-2</v>
      </c>
      <c r="F6" s="1">
        <v>0.1623</v>
      </c>
    </row>
    <row r="7" spans="1:6" x14ac:dyDescent="0.3">
      <c r="A7" s="10">
        <v>2020</v>
      </c>
      <c r="B7" s="1">
        <v>7.7000000000000002E-3</v>
      </c>
      <c r="C7" s="1">
        <v>1.04E-2</v>
      </c>
      <c r="D7" s="1">
        <v>4.3299999999999998E-2</v>
      </c>
      <c r="E7" s="1">
        <v>4.48E-2</v>
      </c>
      <c r="F7" s="1">
        <v>0.10619999999999999</v>
      </c>
    </row>
    <row r="8" spans="1:6" x14ac:dyDescent="0.3">
      <c r="A8" s="10">
        <v>2021</v>
      </c>
      <c r="B8" s="1">
        <v>1.12E-2</v>
      </c>
      <c r="C8" s="1">
        <v>0.10340000000000001</v>
      </c>
      <c r="D8" s="1">
        <v>6.2899999999999998E-2</v>
      </c>
      <c r="E8" s="1">
        <v>9.4600000000000004E-2</v>
      </c>
      <c r="F8" s="1">
        <v>0.27210000000000001</v>
      </c>
    </row>
    <row r="9" spans="1:6" x14ac:dyDescent="0.3">
      <c r="A9" s="10">
        <v>2022</v>
      </c>
      <c r="B9" s="1">
        <v>5.5500000000000001E-2</v>
      </c>
      <c r="C9" s="1">
        <v>0.11020000000000001</v>
      </c>
      <c r="D9" s="1">
        <v>0.10249999999999999</v>
      </c>
      <c r="E9" s="1">
        <v>0.1487</v>
      </c>
      <c r="F9" s="1">
        <v>0.41689999999999999</v>
      </c>
    </row>
    <row r="10" spans="1:6" x14ac:dyDescent="0.3">
      <c r="A10" s="10" t="s">
        <v>503</v>
      </c>
      <c r="B10" s="1">
        <v>0.10639999999999999</v>
      </c>
      <c r="C10" s="1">
        <v>0.21350000000000002</v>
      </c>
      <c r="D10" s="1">
        <v>0.3382</v>
      </c>
      <c r="E10" s="1">
        <v>0.39800000000000002</v>
      </c>
      <c r="F10" s="1">
        <v>1.0561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4EAE-9099-40D3-A22A-90A95A327A30}">
  <dimension ref="A3:F10"/>
  <sheetViews>
    <sheetView workbookViewId="0">
      <selection activeCell="B5" sqref="B5:F10"/>
    </sheetView>
  </sheetViews>
  <sheetFormatPr defaultRowHeight="14.4" x14ac:dyDescent="0.3"/>
  <cols>
    <col min="1" max="1" width="21.886718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508</v>
      </c>
      <c r="B3" s="9" t="s">
        <v>504</v>
      </c>
    </row>
    <row r="4" spans="1:6" x14ac:dyDescent="0.3">
      <c r="A4" s="9" t="s">
        <v>502</v>
      </c>
      <c r="B4" t="s">
        <v>487</v>
      </c>
      <c r="C4" t="s">
        <v>488</v>
      </c>
      <c r="D4" t="s">
        <v>486</v>
      </c>
      <c r="E4" t="s">
        <v>433</v>
      </c>
      <c r="F4" t="s">
        <v>503</v>
      </c>
    </row>
    <row r="5" spans="1:6" x14ac:dyDescent="0.3">
      <c r="A5" s="10">
        <v>2018</v>
      </c>
      <c r="B5" s="1">
        <v>2.9000000000000001E-2</v>
      </c>
      <c r="C5" s="1">
        <v>-1.5800000000000002E-2</v>
      </c>
      <c r="D5" s="1">
        <v>0.16569999999999999</v>
      </c>
      <c r="E5" s="1">
        <v>6.7699999999999996E-2</v>
      </c>
      <c r="F5" s="1">
        <v>0.24659999999999999</v>
      </c>
    </row>
    <row r="6" spans="1:6" x14ac:dyDescent="0.3">
      <c r="A6" s="10">
        <v>2019</v>
      </c>
      <c r="B6" s="1">
        <v>2.4799999999999999E-2</v>
      </c>
      <c r="C6" s="1">
        <v>-1.1599999999999999E-2</v>
      </c>
      <c r="D6" s="1">
        <v>0.23269999999999999</v>
      </c>
      <c r="E6" s="1">
        <v>0.14949999999999999</v>
      </c>
      <c r="F6" s="1">
        <v>0.39539999999999997</v>
      </c>
    </row>
    <row r="7" spans="1:6" x14ac:dyDescent="0.3">
      <c r="A7" s="10">
        <v>2020</v>
      </c>
      <c r="B7" s="1">
        <v>1.3599999999999999E-2</v>
      </c>
      <c r="C7" s="1">
        <v>2.5999999999999999E-2</v>
      </c>
      <c r="D7" s="1">
        <v>0.13789999999999999</v>
      </c>
      <c r="E7" s="1">
        <v>9.0399999999999994E-2</v>
      </c>
      <c r="F7" s="1">
        <v>0.26789999999999997</v>
      </c>
    </row>
    <row r="8" spans="1:6" x14ac:dyDescent="0.3">
      <c r="A8" s="10">
        <v>2021</v>
      </c>
      <c r="B8" s="1">
        <v>1.9800000000000002E-2</v>
      </c>
      <c r="C8" s="1">
        <v>0.21909999999999999</v>
      </c>
      <c r="D8" s="1">
        <v>0.17860000000000001</v>
      </c>
      <c r="E8" s="1">
        <v>0.18079999999999999</v>
      </c>
      <c r="F8" s="1">
        <v>0.59829999999999994</v>
      </c>
    </row>
    <row r="9" spans="1:6" x14ac:dyDescent="0.3">
      <c r="A9" s="10">
        <v>2022</v>
      </c>
      <c r="B9" s="1">
        <v>0.1011</v>
      </c>
      <c r="C9" s="1">
        <v>0.20519999999999999</v>
      </c>
      <c r="D9" s="1">
        <v>0.26300000000000001</v>
      </c>
      <c r="E9" s="1">
        <v>0.2631</v>
      </c>
      <c r="F9" s="1">
        <v>0.83240000000000003</v>
      </c>
    </row>
    <row r="10" spans="1:6" x14ac:dyDescent="0.3">
      <c r="A10" s="10" t="s">
        <v>503</v>
      </c>
      <c r="B10" s="1">
        <v>0.1883</v>
      </c>
      <c r="C10" s="1">
        <v>0.42289999999999994</v>
      </c>
      <c r="D10" s="1">
        <v>0.97789999999999999</v>
      </c>
      <c r="E10" s="1">
        <v>0.75149999999999995</v>
      </c>
      <c r="F10" s="1">
        <v>2.3406000000000002</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8F7A-0810-4515-8E19-E23377B99294}">
  <dimension ref="A3:F10"/>
  <sheetViews>
    <sheetView workbookViewId="0">
      <selection activeCell="A3" sqref="A3"/>
    </sheetView>
  </sheetViews>
  <sheetFormatPr defaultRowHeight="14.4" x14ac:dyDescent="0.3"/>
  <cols>
    <col min="1" max="1" width="18.777343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509</v>
      </c>
      <c r="B3" s="9" t="s">
        <v>504</v>
      </c>
    </row>
    <row r="4" spans="1:6" x14ac:dyDescent="0.3">
      <c r="A4" s="9" t="s">
        <v>502</v>
      </c>
      <c r="B4" t="s">
        <v>487</v>
      </c>
      <c r="C4" t="s">
        <v>488</v>
      </c>
      <c r="D4" t="s">
        <v>486</v>
      </c>
      <c r="E4" t="s">
        <v>433</v>
      </c>
      <c r="F4" t="s">
        <v>503</v>
      </c>
    </row>
    <row r="5" spans="1:6" x14ac:dyDescent="0.3">
      <c r="A5" s="10">
        <v>2018</v>
      </c>
      <c r="B5" s="196">
        <v>1.7</v>
      </c>
      <c r="C5" s="196">
        <v>0.62</v>
      </c>
      <c r="D5" s="196">
        <v>0.76</v>
      </c>
      <c r="E5" s="196">
        <v>1.35</v>
      </c>
      <c r="F5" s="196">
        <v>4.43</v>
      </c>
    </row>
    <row r="6" spans="1:6" x14ac:dyDescent="0.3">
      <c r="A6" s="10">
        <v>2019</v>
      </c>
      <c r="B6" s="196">
        <v>1.68</v>
      </c>
      <c r="C6" s="196">
        <v>0.57999999999999996</v>
      </c>
      <c r="D6" s="196">
        <v>0.78</v>
      </c>
      <c r="E6" s="196">
        <v>0.67</v>
      </c>
      <c r="F6" s="196">
        <v>3.71</v>
      </c>
    </row>
    <row r="7" spans="1:6" x14ac:dyDescent="0.3">
      <c r="A7" s="10">
        <v>2020</v>
      </c>
      <c r="B7" s="196">
        <v>1.58</v>
      </c>
      <c r="C7" s="196">
        <v>0.74</v>
      </c>
      <c r="D7" s="196">
        <v>0.83</v>
      </c>
      <c r="E7" s="196">
        <v>0.65</v>
      </c>
      <c r="F7" s="196">
        <v>3.8000000000000003</v>
      </c>
    </row>
    <row r="8" spans="1:6" x14ac:dyDescent="0.3">
      <c r="A8" s="10">
        <v>2021</v>
      </c>
      <c r="B8" s="196">
        <v>1.48</v>
      </c>
      <c r="C8" s="196">
        <v>1.33</v>
      </c>
      <c r="D8" s="196">
        <v>0.8</v>
      </c>
      <c r="E8" s="196">
        <v>0.97</v>
      </c>
      <c r="F8" s="196">
        <v>4.58</v>
      </c>
    </row>
    <row r="9" spans="1:6" x14ac:dyDescent="0.3">
      <c r="A9" s="10">
        <v>2022</v>
      </c>
      <c r="B9" s="196">
        <v>1.37</v>
      </c>
      <c r="C9" s="196">
        <v>1.1200000000000001</v>
      </c>
      <c r="D9" s="196">
        <v>1.03</v>
      </c>
      <c r="E9" s="196">
        <v>0.57999999999999996</v>
      </c>
      <c r="F9" s="196">
        <v>4.1000000000000005</v>
      </c>
    </row>
    <row r="10" spans="1:6" x14ac:dyDescent="0.3">
      <c r="A10" s="10" t="s">
        <v>503</v>
      </c>
      <c r="B10" s="196">
        <v>7.81</v>
      </c>
      <c r="C10" s="196">
        <v>4.3900000000000006</v>
      </c>
      <c r="D10" s="196">
        <v>4.2</v>
      </c>
      <c r="E10" s="196">
        <v>4.22</v>
      </c>
      <c r="F10" s="196">
        <v>20.620000000000005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10F1-1906-4565-AAC7-B60BD754D648}">
  <dimension ref="A3:F10"/>
  <sheetViews>
    <sheetView workbookViewId="0">
      <selection activeCell="K21" sqref="K21"/>
    </sheetView>
  </sheetViews>
  <sheetFormatPr defaultRowHeight="14.4" x14ac:dyDescent="0.3"/>
  <cols>
    <col min="1" max="1" width="22.777343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510</v>
      </c>
      <c r="B3" s="9" t="s">
        <v>504</v>
      </c>
    </row>
    <row r="4" spans="1:6" x14ac:dyDescent="0.3">
      <c r="A4" s="9" t="s">
        <v>502</v>
      </c>
      <c r="B4" t="s">
        <v>487</v>
      </c>
      <c r="C4" t="s">
        <v>488</v>
      </c>
      <c r="D4" t="s">
        <v>486</v>
      </c>
      <c r="E4" t="s">
        <v>433</v>
      </c>
      <c r="F4" t="s">
        <v>503</v>
      </c>
    </row>
    <row r="5" spans="1:6" x14ac:dyDescent="0.3">
      <c r="A5" s="10">
        <v>2018</v>
      </c>
      <c r="B5" s="196">
        <v>0.41</v>
      </c>
      <c r="C5" s="196">
        <v>0.94</v>
      </c>
      <c r="D5" s="196">
        <v>1.1399999999999999</v>
      </c>
      <c r="E5" s="196">
        <v>0.41</v>
      </c>
      <c r="F5" s="196">
        <v>2.9</v>
      </c>
    </row>
    <row r="6" spans="1:6" x14ac:dyDescent="0.3">
      <c r="A6" s="10">
        <v>2019</v>
      </c>
      <c r="B6" s="196">
        <v>0.4</v>
      </c>
      <c r="C6" s="196">
        <v>0.78</v>
      </c>
      <c r="D6" s="196">
        <v>0.94</v>
      </c>
      <c r="E6" s="196">
        <v>0.38</v>
      </c>
      <c r="F6" s="196">
        <v>2.5</v>
      </c>
    </row>
    <row r="7" spans="1:6" x14ac:dyDescent="0.3">
      <c r="A7" s="10">
        <v>2020</v>
      </c>
      <c r="B7" s="196">
        <v>0.51</v>
      </c>
      <c r="C7" s="196">
        <v>0.64</v>
      </c>
      <c r="D7" s="196">
        <v>1.2</v>
      </c>
      <c r="E7" s="196">
        <v>0.53</v>
      </c>
      <c r="F7" s="196">
        <v>2.88</v>
      </c>
    </row>
    <row r="8" spans="1:6" x14ac:dyDescent="0.3">
      <c r="A8" s="10">
        <v>2021</v>
      </c>
      <c r="B8" s="196">
        <v>0.39</v>
      </c>
      <c r="C8" s="196">
        <v>0.51</v>
      </c>
      <c r="D8" s="196">
        <v>0.87</v>
      </c>
      <c r="E8" s="196">
        <v>0.34</v>
      </c>
      <c r="F8" s="196">
        <v>2.11</v>
      </c>
    </row>
    <row r="9" spans="1:6" x14ac:dyDescent="0.3">
      <c r="A9" s="10">
        <v>2022</v>
      </c>
      <c r="B9" s="196">
        <v>0.35</v>
      </c>
      <c r="C9" s="196">
        <v>0.33</v>
      </c>
      <c r="D9" s="196">
        <v>0.79</v>
      </c>
      <c r="E9" s="196">
        <v>0.26</v>
      </c>
      <c r="F9" s="196">
        <v>1.73</v>
      </c>
    </row>
    <row r="10" spans="1:6" x14ac:dyDescent="0.3">
      <c r="A10" s="10" t="s">
        <v>503</v>
      </c>
      <c r="B10" s="196">
        <v>2.06</v>
      </c>
      <c r="C10" s="196">
        <v>3.2</v>
      </c>
      <c r="D10" s="196">
        <v>4.9400000000000004</v>
      </c>
      <c r="E10" s="196">
        <v>1.9200000000000002</v>
      </c>
      <c r="F10" s="196">
        <v>12.120000000000001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537F-ADAC-42B7-98F7-1EC949C6C1B6}">
  <dimension ref="A3:F10"/>
  <sheetViews>
    <sheetView workbookViewId="0">
      <selection activeCell="J19" sqref="J19"/>
    </sheetView>
  </sheetViews>
  <sheetFormatPr defaultRowHeight="14.4" x14ac:dyDescent="0.3"/>
  <cols>
    <col min="1" max="1" width="27.4414062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511</v>
      </c>
      <c r="B3" s="9" t="s">
        <v>504</v>
      </c>
    </row>
    <row r="4" spans="1:6" x14ac:dyDescent="0.3">
      <c r="A4" s="9" t="s">
        <v>502</v>
      </c>
      <c r="B4" t="s">
        <v>487</v>
      </c>
      <c r="C4" t="s">
        <v>488</v>
      </c>
      <c r="D4" t="s">
        <v>486</v>
      </c>
      <c r="E4" t="s">
        <v>433</v>
      </c>
      <c r="F4" t="s">
        <v>503</v>
      </c>
    </row>
    <row r="5" spans="1:6" x14ac:dyDescent="0.3">
      <c r="A5" s="10">
        <v>2018</v>
      </c>
      <c r="B5" s="196">
        <v>2.34</v>
      </c>
      <c r="C5" s="196">
        <v>0.86</v>
      </c>
      <c r="D5" s="196">
        <v>3.04</v>
      </c>
      <c r="E5" s="196">
        <v>4.5599999999999996</v>
      </c>
      <c r="F5" s="196">
        <v>10.8</v>
      </c>
    </row>
    <row r="6" spans="1:6" x14ac:dyDescent="0.3">
      <c r="A6" s="10">
        <v>2019</v>
      </c>
      <c r="B6" s="196">
        <v>2.08</v>
      </c>
      <c r="C6" s="196">
        <v>1.29</v>
      </c>
      <c r="D6" s="196">
        <v>4.09</v>
      </c>
      <c r="E6" s="196">
        <v>6.79</v>
      </c>
      <c r="F6" s="196">
        <v>14.25</v>
      </c>
    </row>
    <row r="7" spans="1:6" x14ac:dyDescent="0.3">
      <c r="A7" s="10">
        <v>2020</v>
      </c>
      <c r="B7" s="196">
        <v>1.61</v>
      </c>
      <c r="C7" s="196">
        <v>1.34</v>
      </c>
      <c r="D7" s="196">
        <v>2.39</v>
      </c>
      <c r="E7" s="196">
        <v>3.74</v>
      </c>
      <c r="F7" s="196">
        <v>9.08</v>
      </c>
    </row>
    <row r="8" spans="1:6" x14ac:dyDescent="0.3">
      <c r="A8" s="10">
        <v>2021</v>
      </c>
      <c r="B8" s="196">
        <v>3.23</v>
      </c>
      <c r="C8" s="196">
        <v>5.25</v>
      </c>
      <c r="D8" s="196">
        <v>4.53</v>
      </c>
      <c r="E8" s="196">
        <v>6.14</v>
      </c>
      <c r="F8" s="196">
        <v>19.150000000000002</v>
      </c>
    </row>
    <row r="9" spans="1:6" x14ac:dyDescent="0.3">
      <c r="A9" s="10">
        <v>2022</v>
      </c>
      <c r="B9" s="196">
        <v>8.2799999999999994</v>
      </c>
      <c r="C9" s="196">
        <v>10.7</v>
      </c>
      <c r="D9" s="196">
        <v>8.7799999999999994</v>
      </c>
      <c r="E9" s="196">
        <v>18.829999999999998</v>
      </c>
      <c r="F9" s="196">
        <v>46.589999999999996</v>
      </c>
    </row>
    <row r="10" spans="1:6" x14ac:dyDescent="0.3">
      <c r="A10" s="10" t="s">
        <v>503</v>
      </c>
      <c r="B10" s="196">
        <v>17.54</v>
      </c>
      <c r="C10" s="196">
        <v>19.439999999999998</v>
      </c>
      <c r="D10" s="196">
        <v>22.83</v>
      </c>
      <c r="E10" s="196">
        <v>40.06</v>
      </c>
      <c r="F10" s="196">
        <v>99.87</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5000-6FF0-4EAD-9AAE-7801AA3471A4}">
  <dimension ref="A3:F10"/>
  <sheetViews>
    <sheetView workbookViewId="0">
      <selection activeCell="K21" sqref="K21"/>
    </sheetView>
  </sheetViews>
  <sheetFormatPr defaultRowHeight="14.4" x14ac:dyDescent="0.3"/>
  <cols>
    <col min="1" max="1" width="20.21875" bestFit="1" customWidth="1"/>
    <col min="2" max="2" width="15.5546875" bestFit="1" customWidth="1"/>
    <col min="3" max="3" width="10.33203125" bestFit="1" customWidth="1"/>
    <col min="4" max="4" width="9" bestFit="1" customWidth="1"/>
    <col min="5" max="5" width="9.21875" bestFit="1" customWidth="1"/>
    <col min="6" max="6" width="10.77734375" bestFit="1" customWidth="1"/>
  </cols>
  <sheetData>
    <row r="3" spans="1:6" x14ac:dyDescent="0.3">
      <c r="A3" s="9" t="s">
        <v>512</v>
      </c>
      <c r="B3" s="9" t="s">
        <v>504</v>
      </c>
    </row>
    <row r="4" spans="1:6" x14ac:dyDescent="0.3">
      <c r="A4" s="9" t="s">
        <v>502</v>
      </c>
      <c r="B4" t="s">
        <v>487</v>
      </c>
      <c r="C4" t="s">
        <v>488</v>
      </c>
      <c r="D4" t="s">
        <v>486</v>
      </c>
      <c r="E4" t="s">
        <v>433</v>
      </c>
      <c r="F4" t="s">
        <v>503</v>
      </c>
    </row>
    <row r="5" spans="1:6" x14ac:dyDescent="0.3">
      <c r="A5" s="10">
        <v>2018</v>
      </c>
      <c r="B5" s="11">
        <v>0.51739999999999997</v>
      </c>
      <c r="C5" s="11">
        <v>0.28399999999999997</v>
      </c>
      <c r="D5" s="11">
        <v>0.75939999999999996</v>
      </c>
      <c r="E5" s="11">
        <v>0.47639999999999999</v>
      </c>
      <c r="F5" s="11">
        <v>2.0371999999999999</v>
      </c>
    </row>
    <row r="6" spans="1:6" x14ac:dyDescent="0.3">
      <c r="A6" s="10">
        <v>2019</v>
      </c>
      <c r="B6" s="11">
        <v>0.56130000000000002</v>
      </c>
      <c r="C6" s="11">
        <v>0.48049999999999998</v>
      </c>
      <c r="D6" s="11">
        <v>0.71850000000000003</v>
      </c>
      <c r="E6" s="11">
        <v>0.51349999999999996</v>
      </c>
      <c r="F6" s="11">
        <v>2.2738</v>
      </c>
    </row>
    <row r="7" spans="1:6" x14ac:dyDescent="0.3">
      <c r="A7" s="10">
        <v>2020</v>
      </c>
      <c r="B7" s="11">
        <v>0.50260000000000005</v>
      </c>
      <c r="C7" s="11">
        <v>0.44540000000000002</v>
      </c>
      <c r="D7" s="11">
        <v>0.52649999999999997</v>
      </c>
      <c r="E7" s="11">
        <v>0.40179999999999999</v>
      </c>
      <c r="F7" s="11">
        <v>1.8762999999999999</v>
      </c>
    </row>
    <row r="8" spans="1:6" x14ac:dyDescent="0.3">
      <c r="A8" s="10">
        <v>2021</v>
      </c>
      <c r="B8" s="11">
        <v>5.1000000000000004E-3</v>
      </c>
      <c r="C8" s="11">
        <v>0.48180000000000001</v>
      </c>
      <c r="D8" s="11">
        <v>0.53080000000000005</v>
      </c>
      <c r="E8" s="11">
        <v>5.1000000000000004E-3</v>
      </c>
      <c r="F8" s="11">
        <v>1.0228000000000002</v>
      </c>
    </row>
    <row r="9" spans="1:6" x14ac:dyDescent="0.3">
      <c r="A9" s="10">
        <v>2022</v>
      </c>
      <c r="B9" s="11">
        <v>7.1999999999999998E-3</v>
      </c>
      <c r="C9" s="11">
        <v>6.8999999999999999E-3</v>
      </c>
      <c r="D9" s="11">
        <v>8.0000000000000002E-3</v>
      </c>
      <c r="E9" s="11">
        <v>6.4000000000000003E-3</v>
      </c>
      <c r="F9" s="11">
        <v>2.8500000000000001E-2</v>
      </c>
    </row>
    <row r="10" spans="1:6" x14ac:dyDescent="0.3">
      <c r="A10" s="10" t="s">
        <v>503</v>
      </c>
      <c r="B10" s="11">
        <v>1.5936000000000003</v>
      </c>
      <c r="C10" s="11">
        <v>1.6985999999999999</v>
      </c>
      <c r="D10" s="11">
        <v>2.5432000000000001</v>
      </c>
      <c r="E10" s="11">
        <v>1.4032</v>
      </c>
      <c r="F10" s="11">
        <v>7.2385999999999999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Updated Financial Statements </vt:lpstr>
      <vt:lpstr>Sources</vt:lpstr>
      <vt:lpstr>Assumptions</vt:lpstr>
      <vt:lpstr>Financial Statements</vt:lpstr>
      <vt:lpstr>PPE </vt:lpstr>
      <vt:lpstr>Beta</vt:lpstr>
      <vt:lpstr>WACC</vt:lpstr>
      <vt:lpstr>DCF Valuation</vt:lpstr>
      <vt:lpstr>Relative Valuation</vt:lpstr>
      <vt:lpstr>All Ratio Forecast</vt:lpstr>
      <vt:lpstr>Key Ratio Forecast</vt:lpstr>
      <vt:lpstr>Sheet15</vt:lpstr>
      <vt:lpstr>Peer Comparison</vt:lpstr>
      <vt:lpstr>Dashboard</vt:lpstr>
      <vt:lpstr>Sheet7</vt:lpstr>
      <vt:lpstr>Sheet8</vt:lpstr>
      <vt:lpstr>Sheet9</vt:lpstr>
      <vt:lpstr>Sheet10</vt:lpstr>
      <vt:lpstr>Sheet11</vt:lpstr>
      <vt:lpstr>Sheet12</vt:lpstr>
      <vt:lpstr>Sheet13</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Garg</dc:creator>
  <cp:lastModifiedBy>Sayali Mhatre</cp:lastModifiedBy>
  <dcterms:created xsi:type="dcterms:W3CDTF">2022-12-20T09:24:34Z</dcterms:created>
  <dcterms:modified xsi:type="dcterms:W3CDTF">2026-04-04T15:57:27Z</dcterms:modified>
</cp:coreProperties>
</file>